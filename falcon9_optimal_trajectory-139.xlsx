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con9_optimal_trajectory-139" sheetId="1" r:id="rId5"/>
  </sheets>
  <definedNames/>
  <calcPr/>
</workbook>
</file>

<file path=xl/sharedStrings.xml><?xml version="1.0" encoding="utf-8"?>
<sst xmlns="http://schemas.openxmlformats.org/spreadsheetml/2006/main" count="27" uniqueCount="27">
  <si>
    <t>time_s</t>
  </si>
  <si>
    <t>altitude_m</t>
  </si>
  <si>
    <t>altitude_km</t>
  </si>
  <si>
    <t>radius_m</t>
  </si>
  <si>
    <t>downrange_angle_rad</t>
  </si>
  <si>
    <t>downrange_angle_deg</t>
  </si>
  <si>
    <t>velocity_m_s</t>
  </si>
  <si>
    <t>gamma_rad</t>
  </si>
  <si>
    <t>gamma_deg</t>
  </si>
  <si>
    <t>mass_kg</t>
  </si>
  <si>
    <t>omega_rad_s</t>
  </si>
  <si>
    <t>mdot_engine_kg_s</t>
  </si>
  <si>
    <t>mdot_total_kg_s</t>
  </si>
  <si>
    <t>thrust_N</t>
  </si>
  <si>
    <t>thrust_MN</t>
  </si>
  <si>
    <t>drag_N</t>
  </si>
  <si>
    <t>gravity_m_s2</t>
  </si>
  <si>
    <t>pressure_Pa</t>
  </si>
  <si>
    <t>density_kg_m3</t>
  </si>
  <si>
    <t>Speed</t>
  </si>
  <si>
    <t xml:space="preserve">Altitude </t>
  </si>
  <si>
    <t>SpaceX to launch Falcon 9 rocket from Florida's Space Coast - YouTube</t>
  </si>
  <si>
    <t>SpaceX Falcon 9 Rocket Launch (With 49 Satellites) - YouTube</t>
  </si>
  <si>
    <t>SpaceX Falcon 9 rocket launches NASA's Crew 13 mission to the space station - YouTube</t>
  </si>
  <si>
    <t>Live: SpaceX Falcon 9 rocket launches three O3b mPOWER satellites from Cape Canaveral - YouTube</t>
  </si>
  <si>
    <t>SpaceX launches Starlink mission on Falcon 9 for first time in weeks, nails landing - YouTube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</si>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</sst>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F1F1F"/>
      <name val="Arial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20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20" xfId="0" applyAlignment="1" applyFont="1" applyNumberFormat="1">
      <alignment horizontal="right" readingOrder="0" vertical="bottom"/>
    </xf>
    <xf borderId="0" fillId="0" fontId="2" numFmtId="20" xfId="0" applyAlignment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alcon9_optimal_trajectory-13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mdot_engine_kg_s vs. time_s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'falcon9_optimal_trajectory-139'!$L$1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'falcon9_optimal_trajectory-139'!$A$2:$A$82</c:f>
            </c:strRef>
          </c:cat>
          <c:val>
            <c:numRef>
              <c:f>'falcon9_optimal_trajectory-139'!$L$2:$L$82</c:f>
              <c:numCache/>
            </c:numRef>
          </c:val>
          <c:smooth val="0"/>
        </c:ser>
        <c:axId val="1534680391"/>
        <c:axId val="375918522"/>
      </c:lineChart>
      <c:catAx>
        <c:axId val="1534680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918522"/>
      </c:catAx>
      <c:valAx>
        <c:axId val="37591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mdot_engine_kg_s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680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altitude_km vs. time_s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'falcon9_optimal_trajectory-139'!$C$1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'falcon9_optimal_trajectory-139'!$A$2:$A$82</c:f>
            </c:strRef>
          </c:cat>
          <c:val>
            <c:numRef>
              <c:f>'falcon9_optimal_trajectory-139'!$C$2:$C$82</c:f>
              <c:numCache/>
            </c:numRef>
          </c:val>
          <c:smooth val="0"/>
        </c:ser>
        <c:axId val="1245260915"/>
        <c:axId val="324190303"/>
      </c:lineChart>
      <c:catAx>
        <c:axId val="124526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190303"/>
      </c:catAx>
      <c:valAx>
        <c:axId val="324190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altitude_km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260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omega_rad_s vs. time_s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'falcon9_optimal_trajectory-139'!$K$1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'falcon9_optimal_trajectory-139'!$A$2:$A$82</c:f>
            </c:strRef>
          </c:cat>
          <c:val>
            <c:numRef>
              <c:f>'falcon9_optimal_trajectory-139'!$K$2:$K$82</c:f>
              <c:numCache/>
            </c:numRef>
          </c:val>
          <c:smooth val="0"/>
        </c:ser>
        <c:axId val="663984685"/>
        <c:axId val="2123362025"/>
      </c:lineChart>
      <c:catAx>
        <c:axId val="663984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362025"/>
      </c:catAx>
      <c:valAx>
        <c:axId val="2123362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omega_rad_s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984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mass_kg vs. time_s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'falcon9_optimal_trajectory-139'!$J$1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'falcon9_optimal_trajectory-139'!$A$2:$A$82</c:f>
            </c:strRef>
          </c:cat>
          <c:val>
            <c:numRef>
              <c:f>'falcon9_optimal_trajectory-139'!$J$2:$J$82</c:f>
              <c:numCache/>
            </c:numRef>
          </c:val>
          <c:smooth val="0"/>
        </c:ser>
        <c:axId val="40011615"/>
        <c:axId val="1228423029"/>
      </c:lineChart>
      <c:catAx>
        <c:axId val="4001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423029"/>
      </c:catAx>
      <c:valAx>
        <c:axId val="1228423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mass_kg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11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velocity_m_s vs. time_s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'falcon9_optimal_trajectory-139'!$G$1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'falcon9_optimal_trajectory-139'!$A$2:$A$82</c:f>
            </c:strRef>
          </c:cat>
          <c:val>
            <c:numRef>
              <c:f>'falcon9_optimal_trajectory-139'!$G$2:$G$82</c:f>
              <c:numCache/>
            </c:numRef>
          </c:val>
          <c:smooth val="0"/>
        </c:ser>
        <c:axId val="382830989"/>
        <c:axId val="1701395501"/>
      </c:lineChart>
      <c:catAx>
        <c:axId val="382830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395501"/>
      </c:catAx>
      <c:valAx>
        <c:axId val="1701395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velocity_m_s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830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83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390525</xdr:colOff>
      <xdr:row>83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105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1152525</xdr:colOff>
      <xdr:row>105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1009650</xdr:colOff>
      <xdr:row>105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2" displayName="Table1" name="Table1" id="1">
  <tableColumns count="19">
    <tableColumn name="time_s" id="1"/>
    <tableColumn name="altitude_m" id="2"/>
    <tableColumn name="altitude_km" id="3"/>
    <tableColumn name="radius_m" id="4"/>
    <tableColumn name="downrange_angle_rad" id="5"/>
    <tableColumn name="downrange_angle_deg" id="6"/>
    <tableColumn name="velocity_m_s" id="7"/>
    <tableColumn name="gamma_rad" id="8"/>
    <tableColumn name="gamma_deg" id="9"/>
    <tableColumn name="mass_kg" id="10"/>
    <tableColumn name="omega_rad_s" id="11"/>
    <tableColumn name="mdot_engine_kg_s" id="12"/>
    <tableColumn name="mdot_total_kg_s" id="13"/>
    <tableColumn name="thrust_N" id="14"/>
    <tableColumn name="thrust_MN" id="15"/>
    <tableColumn name="drag_N" id="16"/>
    <tableColumn name="gravity_m_s2" id="17"/>
    <tableColumn name="pressure_Pa" id="18"/>
    <tableColumn name="density_kg_m3" id="19"/>
  </tableColumns>
  <tableStyleInfo name="falcon9_optimal_trajectory-13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twG8Q4QtRIs" TargetMode="External"/><Relationship Id="rId2" Type="http://schemas.openxmlformats.org/officeDocument/2006/relationships/hyperlink" Target="https://www.youtube.com/watch?v=J7oqeioEPUM" TargetMode="External"/><Relationship Id="rId3" Type="http://schemas.openxmlformats.org/officeDocument/2006/relationships/hyperlink" Target="https://www.youtube.com/watch?v=6_Vbc21msHU" TargetMode="External"/><Relationship Id="rId4" Type="http://schemas.openxmlformats.org/officeDocument/2006/relationships/hyperlink" Target="https://www.youtube.com/watch?v=r0avdYfJO2Q" TargetMode="External"/><Relationship Id="rId5" Type="http://schemas.openxmlformats.org/officeDocument/2006/relationships/hyperlink" Target="https://www.youtube.com/watch?v=LB8hf7gj-7U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16.5"/>
    <col customWidth="1" min="3" max="3" width="17.38"/>
    <col customWidth="1" min="4" max="4" width="15.5"/>
    <col customWidth="1" min="5" max="5" width="24.88"/>
    <col customWidth="1" min="6" max="6" width="25.25"/>
    <col customWidth="1" min="7" max="7" width="18.25"/>
    <col customWidth="1" min="8" max="8" width="17.5"/>
    <col customWidth="1" min="9" max="9" width="17.88"/>
    <col customWidth="1" min="10" max="10" width="15.38"/>
    <col customWidth="1" min="11" max="11" width="18.63"/>
    <col customWidth="1" min="12" max="12" width="22.5"/>
    <col customWidth="1" min="13" max="13" width="20.88"/>
    <col customWidth="1" min="14" max="14" width="15.0"/>
    <col customWidth="1" min="15" max="15" width="16.5"/>
    <col customWidth="1" min="16" max="16" width="14.0"/>
    <col customWidth="1" min="17" max="17" width="18.38"/>
    <col customWidth="1" min="18" max="18" width="17.88"/>
    <col customWidth="1" min="19" max="19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0.0</v>
      </c>
      <c r="B2" s="2">
        <v>1.31181470417982E-27</v>
      </c>
      <c r="C2" s="2">
        <v>1.31181470417982E-30</v>
      </c>
      <c r="D2" s="2">
        <v>6378000.0</v>
      </c>
      <c r="E2" s="2">
        <v>0.0</v>
      </c>
      <c r="F2" s="2">
        <v>0.0</v>
      </c>
      <c r="G2" s="2">
        <v>1.13501307309801E-27</v>
      </c>
      <c r="H2" s="2">
        <v>1.57079632679489</v>
      </c>
      <c r="I2" s="2">
        <v>90.0</v>
      </c>
      <c r="J2" s="2">
        <v>549054.0</v>
      </c>
      <c r="K2" s="2">
        <v>-0.00749999946421633</v>
      </c>
      <c r="L2" s="2">
        <v>303.999996292501</v>
      </c>
      <c r="M2" s="2">
        <v>2735.99996663251</v>
      </c>
      <c r="N2" s="2">
        <v>7404062.50537186</v>
      </c>
      <c r="O2" s="2">
        <v>7.40406250537186</v>
      </c>
      <c r="P2" s="2">
        <v>9.24142374449531E-55</v>
      </c>
      <c r="Q2" s="2">
        <v>9.79869555910137</v>
      </c>
      <c r="R2" s="2">
        <v>101325.0</v>
      </c>
      <c r="S2" s="2">
        <v>1.225</v>
      </c>
    </row>
    <row r="3" ht="22.5" customHeight="1">
      <c r="A3" s="2">
        <v>1.74330808459113</v>
      </c>
      <c r="B3" s="2">
        <v>5.66152541027463</v>
      </c>
      <c r="C3" s="2">
        <v>0.00566152541027463</v>
      </c>
      <c r="D3" s="2">
        <v>6378005.66152541</v>
      </c>
      <c r="E3" s="2">
        <v>7.74792116344546E-9</v>
      </c>
      <c r="F3" s="2">
        <v>4.43923182665515E-7</v>
      </c>
      <c r="G3" s="2">
        <v>6.53024218274161</v>
      </c>
      <c r="H3" s="2">
        <v>1.55772151681751</v>
      </c>
      <c r="I3" s="2">
        <v>89.2508685703603</v>
      </c>
      <c r="J3" s="2">
        <v>544284.309112762</v>
      </c>
      <c r="K3" s="2">
        <v>-0.0074999997819864</v>
      </c>
      <c r="L3" s="2">
        <v>303.999999602369</v>
      </c>
      <c r="M3" s="2">
        <v>2735.99999642132</v>
      </c>
      <c r="N3" s="2">
        <v>7404520.41398626</v>
      </c>
      <c r="O3" s="2">
        <v>7.40452041398626</v>
      </c>
      <c r="P3" s="2">
        <v>30.570776199448</v>
      </c>
      <c r="Q3" s="2">
        <v>9.79867816321237</v>
      </c>
      <c r="R3" s="2">
        <v>101257.533757638</v>
      </c>
      <c r="S3" s="2">
        <v>1.22418434594727</v>
      </c>
    </row>
    <row r="4" ht="22.5" customHeight="1">
      <c r="A4" s="2">
        <v>3.48661616918226</v>
      </c>
      <c r="B4" s="2">
        <v>22.8886232808408</v>
      </c>
      <c r="C4" s="2">
        <v>0.0228886232808408</v>
      </c>
      <c r="D4" s="2">
        <v>6378022.88862328</v>
      </c>
      <c r="E4" s="2">
        <v>6.27363148690626E-8</v>
      </c>
      <c r="F4" s="2">
        <v>3.59452606420112E-6</v>
      </c>
      <c r="G4" s="2">
        <v>13.2740636272442</v>
      </c>
      <c r="H4" s="2">
        <v>1.54464670656346</v>
      </c>
      <c r="I4" s="2">
        <v>88.5017371248688</v>
      </c>
      <c r="J4" s="2">
        <v>539514.618200337</v>
      </c>
      <c r="K4" s="2">
        <v>-0.00749999978162004</v>
      </c>
      <c r="L4" s="2">
        <v>303.99999950332</v>
      </c>
      <c r="M4" s="2">
        <v>2735.99999552988</v>
      </c>
      <c r="N4" s="2">
        <v>7405911.62690486</v>
      </c>
      <c r="O4" s="2">
        <v>7.40591162690486</v>
      </c>
      <c r="P4" s="2">
        <v>126.05947313829</v>
      </c>
      <c r="Q4" s="2">
        <v>9.79862523064606</v>
      </c>
      <c r="R4" s="2">
        <v>101052.521173901</v>
      </c>
      <c r="S4" s="2">
        <v>1.22170578275874</v>
      </c>
    </row>
    <row r="5" ht="22.5" customHeight="1">
      <c r="A5" s="2">
        <v>5.22992425377339</v>
      </c>
      <c r="B5" s="2">
        <v>52.0528429411193</v>
      </c>
      <c r="C5" s="2">
        <v>0.0520528429411193</v>
      </c>
      <c r="D5" s="2">
        <v>6378052.05284294</v>
      </c>
      <c r="E5" s="2">
        <v>2.14330204385497E-7</v>
      </c>
      <c r="F5" s="2">
        <v>1.22802161334653E-5</v>
      </c>
      <c r="G5" s="2">
        <v>20.2410367314107</v>
      </c>
      <c r="H5" s="2">
        <v>1.53157189631025</v>
      </c>
      <c r="I5" s="2">
        <v>87.7526056794258</v>
      </c>
      <c r="J5" s="2">
        <v>534744.927289493</v>
      </c>
      <c r="K5" s="2">
        <v>-0.00749999978101786</v>
      </c>
      <c r="L5" s="2">
        <v>303.999999400655</v>
      </c>
      <c r="M5" s="2">
        <v>2735.9999946059</v>
      </c>
      <c r="N5" s="2">
        <v>7408260.43281846</v>
      </c>
      <c r="O5" s="2">
        <v>7.40826043281846</v>
      </c>
      <c r="P5" s="2">
        <v>292.107765413108</v>
      </c>
      <c r="Q5" s="2">
        <v>9.79853562065138</v>
      </c>
      <c r="R5" s="2">
        <v>100706.395550768</v>
      </c>
      <c r="S5" s="2">
        <v>1.21752118973294</v>
      </c>
    </row>
    <row r="6" ht="22.5" customHeight="1">
      <c r="A6" s="2">
        <v>6.97323233836452</v>
      </c>
      <c r="B6" s="2">
        <v>93.5360917960649</v>
      </c>
      <c r="C6" s="2">
        <v>0.0935360917960649</v>
      </c>
      <c r="D6" s="2">
        <v>6378093.53609179</v>
      </c>
      <c r="E6" s="2">
        <v>5.14321406868779E-7</v>
      </c>
      <c r="F6" s="2">
        <v>2.94684459268119E-5</v>
      </c>
      <c r="G6" s="2">
        <v>27.4409673180935</v>
      </c>
      <c r="H6" s="2">
        <v>1.51849708605829</v>
      </c>
      <c r="I6" s="2">
        <v>87.0034742340542</v>
      </c>
      <c r="J6" s="2">
        <v>529975.236380289</v>
      </c>
      <c r="K6" s="2">
        <v>-0.00749999978018854</v>
      </c>
      <c r="L6" s="2">
        <v>303.999999294353</v>
      </c>
      <c r="M6" s="2">
        <v>2735.99999364917</v>
      </c>
      <c r="N6" s="2">
        <v>7411587.52678175</v>
      </c>
      <c r="O6" s="2">
        <v>7.41158752678175</v>
      </c>
      <c r="P6" s="2">
        <v>534.265224245334</v>
      </c>
      <c r="Q6" s="2">
        <v>9.79840816131971</v>
      </c>
      <c r="R6" s="2">
        <v>100216.107219033</v>
      </c>
      <c r="S6" s="2">
        <v>1.21159369694859</v>
      </c>
    </row>
    <row r="7" ht="22.5" customHeight="1">
      <c r="A7" s="2">
        <v>8.71654042295565</v>
      </c>
      <c r="B7" s="2">
        <v>147.730606181109</v>
      </c>
      <c r="C7" s="2">
        <v>0.147730606181109</v>
      </c>
      <c r="D7" s="2">
        <v>6378147.73060618</v>
      </c>
      <c r="E7" s="2">
        <v>1.01705089708007E-6</v>
      </c>
      <c r="F7" s="2">
        <v>5.82727239526828E-5</v>
      </c>
      <c r="G7" s="2">
        <v>34.883890609179</v>
      </c>
      <c r="H7" s="2">
        <v>1.50542227580797</v>
      </c>
      <c r="I7" s="2">
        <v>86.2543427887764</v>
      </c>
      <c r="J7" s="2">
        <v>525205.545472782</v>
      </c>
      <c r="K7" s="2">
        <v>-0.00749999977913904</v>
      </c>
      <c r="L7" s="2">
        <v>303.999999184347</v>
      </c>
      <c r="M7" s="2">
        <v>2735.99999265912</v>
      </c>
      <c r="N7" s="2">
        <v>7415909.715788</v>
      </c>
      <c r="O7" s="2">
        <v>7.415909715788</v>
      </c>
      <c r="P7" s="2">
        <v>857.904448048645</v>
      </c>
      <c r="Q7" s="2">
        <v>9.79824164974348</v>
      </c>
      <c r="R7" s="2">
        <v>99579.179462678</v>
      </c>
      <c r="S7" s="2">
        <v>1.20389336137952</v>
      </c>
    </row>
    <row r="8" ht="22.5" customHeight="1">
      <c r="A8" s="2">
        <v>10.4598485075467</v>
      </c>
      <c r="B8" s="2">
        <v>215.038885990111</v>
      </c>
      <c r="C8" s="2">
        <v>0.215038885990111</v>
      </c>
      <c r="D8" s="2">
        <v>6378215.03888599</v>
      </c>
      <c r="E8" s="2">
        <v>1.77953353782469E-6</v>
      </c>
      <c r="F8" s="2">
        <v>1.01959761219339E-4</v>
      </c>
      <c r="G8" s="2">
        <v>42.580066219516</v>
      </c>
      <c r="H8" s="2">
        <v>1.49234746555967</v>
      </c>
      <c r="I8" s="2">
        <v>85.5052113436142</v>
      </c>
      <c r="J8" s="2">
        <v>520435.854567031</v>
      </c>
      <c r="K8" s="2">
        <v>-0.00749999977787503</v>
      </c>
      <c r="L8" s="2">
        <v>303.999999070564</v>
      </c>
      <c r="M8" s="2">
        <v>2735.99999163508</v>
      </c>
      <c r="N8" s="2">
        <v>7421239.54583353</v>
      </c>
      <c r="O8" s="2">
        <v>7.42123954583353</v>
      </c>
      <c r="P8" s="2">
        <v>1268.12697053859</v>
      </c>
      <c r="Q8" s="2">
        <v>9.79803485229098</v>
      </c>
      <c r="R8" s="2">
        <v>98793.7634756046</v>
      </c>
      <c r="S8" s="2">
        <v>1.19439783131128</v>
      </c>
    </row>
    <row r="9" ht="22.5" customHeight="1">
      <c r="A9" s="2">
        <v>12.2031565921379</v>
      </c>
      <c r="B9" s="2">
        <v>295.873590445911</v>
      </c>
      <c r="C9" s="2">
        <v>0.295873590445911</v>
      </c>
      <c r="D9" s="2">
        <v>6378295.87359044</v>
      </c>
      <c r="E9" s="2">
        <v>2.86158492384522E-6</v>
      </c>
      <c r="F9" s="2">
        <v>1.63956738854596E-4</v>
      </c>
      <c r="G9" s="2">
        <v>50.5399720357493</v>
      </c>
      <c r="H9" s="2">
        <v>1.47927265531375</v>
      </c>
      <c r="I9" s="2">
        <v>84.7560798985887</v>
      </c>
      <c r="J9" s="2">
        <v>515666.163663095</v>
      </c>
      <c r="K9" s="2">
        <v>-0.0074999997764011</v>
      </c>
      <c r="L9" s="2">
        <v>303.999998952932</v>
      </c>
      <c r="M9" s="2">
        <v>2735.99999057639</v>
      </c>
      <c r="N9" s="2">
        <v>7427584.94119773</v>
      </c>
      <c r="O9" s="2">
        <v>7.42758494119773</v>
      </c>
      <c r="P9" s="2">
        <v>1769.66044337546</v>
      </c>
      <c r="Q9" s="2">
        <v>9.79778650500561</v>
      </c>
      <c r="R9" s="2">
        <v>97858.6915181741</v>
      </c>
      <c r="S9" s="2">
        <v>1.18309298899347</v>
      </c>
    </row>
    <row r="10" ht="22.5" customHeight="1">
      <c r="A10" s="2">
        <v>13.946464676729</v>
      </c>
      <c r="B10" s="2">
        <v>390.657392382991</v>
      </c>
      <c r="C10" s="2">
        <v>0.390657392382991</v>
      </c>
      <c r="D10" s="2">
        <v>6378390.65739238</v>
      </c>
      <c r="E10" s="2">
        <v>4.32595005388222E-6</v>
      </c>
      <c r="F10" s="2">
        <v>2.47858680471842E-4</v>
      </c>
      <c r="G10" s="2">
        <v>58.7742969980068</v>
      </c>
      <c r="H10" s="2">
        <v>1.46619784507058</v>
      </c>
      <c r="I10" s="2">
        <v>84.0069484537208</v>
      </c>
      <c r="J10" s="2">
        <v>510896.472761035</v>
      </c>
      <c r="K10" s="2">
        <v>-0.00749999977472079</v>
      </c>
      <c r="L10" s="2">
        <v>303.999998831379</v>
      </c>
      <c r="M10" s="2">
        <v>2735.99998948241</v>
      </c>
      <c r="N10" s="2">
        <v>7434948.8620738</v>
      </c>
      <c r="O10" s="2">
        <v>7.4349488620738</v>
      </c>
      <c r="P10" s="2">
        <v>2366.74790859169</v>
      </c>
      <c r="Q10" s="2">
        <v>9.79749531413779</v>
      </c>
      <c r="R10" s="2">
        <v>96773.5273694939</v>
      </c>
      <c r="S10" s="2">
        <v>1.16997356059837</v>
      </c>
    </row>
    <row r="11" ht="22.5" customHeight="1">
      <c r="A11" s="2">
        <v>15.6897727613201</v>
      </c>
      <c r="B11" s="2">
        <v>499.822788532408</v>
      </c>
      <c r="C11" s="2">
        <v>0.499822788532408</v>
      </c>
      <c r="D11" s="2">
        <v>6378499.82278853</v>
      </c>
      <c r="E11" s="2">
        <v>6.23843351486882E-6</v>
      </c>
      <c r="F11" s="2">
        <v>3.57435911174947E-4</v>
      </c>
      <c r="G11" s="2">
        <v>67.2939328219706</v>
      </c>
      <c r="H11" s="2">
        <v>1.45312303483052</v>
      </c>
      <c r="I11" s="2">
        <v>83.2578170090308</v>
      </c>
      <c r="J11" s="2">
        <v>506126.781860914</v>
      </c>
      <c r="K11" s="2">
        <v>-0.00749999977283665</v>
      </c>
      <c r="L11" s="2">
        <v>303.999998705838</v>
      </c>
      <c r="M11" s="2">
        <v>2735.99998835254</v>
      </c>
      <c r="N11" s="2">
        <v>7443328.98711365</v>
      </c>
      <c r="O11" s="2">
        <v>7.44332898711365</v>
      </c>
      <c r="P11" s="2">
        <v>3063.03033160342</v>
      </c>
      <c r="Q11" s="2">
        <v>9.79715995681725</v>
      </c>
      <c r="R11" s="2">
        <v>95538.6131083133</v>
      </c>
      <c r="S11" s="2">
        <v>1.15504368179308</v>
      </c>
    </row>
    <row r="12" ht="22.5" customHeight="1">
      <c r="A12" s="2">
        <v>17.4330808459113</v>
      </c>
      <c r="B12" s="2">
        <v>623.811863464348</v>
      </c>
      <c r="C12" s="2">
        <v>0.623811863464348</v>
      </c>
      <c r="D12" s="2">
        <v>6378623.81186346</v>
      </c>
      <c r="E12" s="2">
        <v>8.66803083338781E-6</v>
      </c>
      <c r="F12" s="2">
        <v>4.96641583442387E-4</v>
      </c>
      <c r="G12" s="2">
        <v>76.1099647199828</v>
      </c>
      <c r="H12" s="2">
        <v>1.44004822459392</v>
      </c>
      <c r="I12" s="2">
        <v>82.5086855645392</v>
      </c>
      <c r="J12" s="2">
        <v>501357.090962794</v>
      </c>
      <c r="K12" s="2">
        <v>-0.00749999977075031</v>
      </c>
      <c r="L12" s="2">
        <v>303.999998576244</v>
      </c>
      <c r="M12" s="2">
        <v>2735.9999871862</v>
      </c>
      <c r="N12" s="2">
        <v>7452717.4277935</v>
      </c>
      <c r="O12" s="2">
        <v>7.45271742779351</v>
      </c>
      <c r="P12" s="2">
        <v>3861.42395289005</v>
      </c>
      <c r="Q12" s="2">
        <v>9.79677908187318</v>
      </c>
      <c r="R12" s="2">
        <v>94155.1112047436</v>
      </c>
      <c r="S12" s="2">
        <v>1.13831740662038</v>
      </c>
    </row>
    <row r="13" ht="22.5" customHeight="1">
      <c r="A13" s="2">
        <v>19.1763889305024</v>
      </c>
      <c r="B13" s="2">
        <v>763.076005054644</v>
      </c>
      <c r="C13" s="2">
        <v>0.763076005054644</v>
      </c>
      <c r="D13" s="2">
        <v>6378763.07600505</v>
      </c>
      <c r="E13" s="2">
        <v>1.16870606233517E-5</v>
      </c>
      <c r="F13" s="2">
        <v>6.69619248631586E-4</v>
      </c>
      <c r="G13" s="2">
        <v>85.2336612021998</v>
      </c>
      <c r="H13" s="2">
        <v>1.42697341436113</v>
      </c>
      <c r="I13" s="2">
        <v>81.759554120266</v>
      </c>
      <c r="J13" s="2">
        <v>496587.40006674</v>
      </c>
      <c r="K13" s="2">
        <v>-0.00749999976846249</v>
      </c>
      <c r="L13" s="2">
        <v>303.999998442537</v>
      </c>
      <c r="M13" s="2">
        <v>2735.99998598284</v>
      </c>
      <c r="N13" s="2">
        <v>7463100.48174255</v>
      </c>
      <c r="O13" s="2">
        <v>7.46310048174255</v>
      </c>
      <c r="P13" s="2">
        <v>4763.99442716444</v>
      </c>
      <c r="Q13" s="2">
        <v>9.79635131080864</v>
      </c>
      <c r="R13" s="2">
        <v>92625.0408702932</v>
      </c>
      <c r="S13" s="2">
        <v>1.11981914696382</v>
      </c>
    </row>
    <row r="14" ht="22.5" customHeight="1">
      <c r="A14" s="2">
        <v>20.9196970150935</v>
      </c>
      <c r="B14" s="2">
        <v>918.075569599139</v>
      </c>
      <c r="C14" s="2">
        <v>0.918075569599139</v>
      </c>
      <c r="D14" s="2">
        <v>6378918.07556959</v>
      </c>
      <c r="E14" s="2">
        <v>1.53712971361564E-5</v>
      </c>
      <c r="F14" s="2">
        <v>8.80710451543294E-4</v>
      </c>
      <c r="G14" s="2">
        <v>94.6764630620259</v>
      </c>
      <c r="H14" s="2">
        <v>1.41389860413251</v>
      </c>
      <c r="I14" s="2">
        <v>81.0104226762314</v>
      </c>
      <c r="J14" s="2">
        <v>491817.709172817</v>
      </c>
      <c r="K14" s="2">
        <v>-0.00749999976597302</v>
      </c>
      <c r="L14" s="2">
        <v>303.999998304661</v>
      </c>
      <c r="M14" s="2">
        <v>2735.99998474194</v>
      </c>
      <c r="N14" s="2">
        <v>7474458.43228102</v>
      </c>
      <c r="O14" s="2">
        <v>7.47445843228102</v>
      </c>
      <c r="P14" s="2">
        <v>5771.83014179848</v>
      </c>
      <c r="Q14" s="2">
        <v>9.79587523893521</v>
      </c>
      <c r="R14" s="2">
        <v>90951.3075983832</v>
      </c>
      <c r="S14" s="2">
        <v>1.09958402968684</v>
      </c>
    </row>
    <row r="15" ht="22.5" customHeight="1">
      <c r="A15" s="2">
        <v>22.6630050996846</v>
      </c>
      <c r="B15" s="2">
        <v>1089.27949500331</v>
      </c>
      <c r="C15" s="2">
        <v>1.08927949500331</v>
      </c>
      <c r="D15" s="2">
        <v>6379089.279495</v>
      </c>
      <c r="E15" s="2">
        <v>1.98001028011034E-5</v>
      </c>
      <c r="F15" s="2">
        <v>0.00113446232442838</v>
      </c>
      <c r="G15" s="2">
        <v>104.44997167369</v>
      </c>
      <c r="H15" s="2">
        <v>1.4008237939084</v>
      </c>
      <c r="I15" s="2">
        <v>80.2612912324556</v>
      </c>
      <c r="J15" s="2">
        <v>487048.018281089</v>
      </c>
      <c r="K15" s="2">
        <v>-0.00749999976328085</v>
      </c>
      <c r="L15" s="2">
        <v>303.99999816256</v>
      </c>
      <c r="M15" s="2">
        <v>2735.99998346304</v>
      </c>
      <c r="N15" s="2">
        <v>7486765.40136302</v>
      </c>
      <c r="O15" s="2">
        <v>7.48676540136302</v>
      </c>
      <c r="P15" s="2">
        <v>6884.91752707713</v>
      </c>
      <c r="Q15" s="2">
        <v>9.79534943667252</v>
      </c>
      <c r="R15" s="2">
        <v>89137.7248350114</v>
      </c>
      <c r="S15" s="2">
        <v>1.07765815862708</v>
      </c>
    </row>
    <row r="16" ht="22.5" customHeight="1">
      <c r="A16" s="2">
        <v>24.4063131842758</v>
      </c>
      <c r="B16" s="2">
        <v>1277.16486082245</v>
      </c>
      <c r="C16" s="2">
        <v>1.27716486082245</v>
      </c>
      <c r="D16" s="2">
        <v>6379277.16486082</v>
      </c>
      <c r="E16" s="2">
        <v>2.50565603304659E-5</v>
      </c>
      <c r="F16" s="2">
        <v>0.00143563515605062</v>
      </c>
      <c r="G16" s="2">
        <v>114.565936753342</v>
      </c>
      <c r="H16" s="2">
        <v>1.38774898368917</v>
      </c>
      <c r="I16" s="2">
        <v>79.5121597889589</v>
      </c>
      <c r="J16" s="2">
        <v>482278.327391625</v>
      </c>
      <c r="K16" s="2">
        <v>-0.00749999976038406</v>
      </c>
      <c r="L16" s="2">
        <v>303.999998016186</v>
      </c>
      <c r="M16" s="2">
        <v>2735.99998214567</v>
      </c>
      <c r="N16" s="2">
        <v>7499989.26289174</v>
      </c>
      <c r="O16" s="2">
        <v>7.49998926289174</v>
      </c>
      <c r="P16" s="2">
        <v>8102.02157214293</v>
      </c>
      <c r="Q16" s="2">
        <v>9.79477245101648</v>
      </c>
      <c r="R16" s="2">
        <v>87189.0267528222</v>
      </c>
      <c r="S16" s="2">
        <v>1.05409876903239</v>
      </c>
    </row>
    <row r="17" ht="22.5" customHeight="1">
      <c r="A17" s="2">
        <v>26.1496212688669</v>
      </c>
      <c r="B17" s="2">
        <v>1482.21639431691</v>
      </c>
      <c r="C17" s="2">
        <v>1.48221639431691</v>
      </c>
      <c r="D17" s="2">
        <v>6379482.21639431</v>
      </c>
      <c r="E17" s="2">
        <v>3.12276039559335E-5</v>
      </c>
      <c r="F17" s="2">
        <v>0.00178920991098102</v>
      </c>
      <c r="G17" s="2">
        <v>125.03624375784</v>
      </c>
      <c r="H17" s="2">
        <v>1.37467417347516</v>
      </c>
      <c r="I17" s="2">
        <v>78.7630283457619</v>
      </c>
      <c r="J17" s="2">
        <v>477508.636504491</v>
      </c>
      <c r="K17" s="2">
        <v>-0.00749999975727982</v>
      </c>
      <c r="L17" s="2">
        <v>303.999997865489</v>
      </c>
      <c r="M17" s="2">
        <v>2735.9999807894</v>
      </c>
      <c r="N17" s="2">
        <v>7514091.62294988</v>
      </c>
      <c r="O17" s="2">
        <v>7.51409162294988</v>
      </c>
      <c r="P17" s="2">
        <v>9420.57512207448</v>
      </c>
      <c r="Q17" s="2">
        <v>9.79414280717852</v>
      </c>
      <c r="R17" s="2">
        <v>85110.8711643834</v>
      </c>
      <c r="S17" s="2">
        <v>1.02897426278183</v>
      </c>
    </row>
    <row r="18" ht="22.5" customHeight="1">
      <c r="A18" s="2">
        <v>27.892929353458</v>
      </c>
      <c r="B18" s="2">
        <v>1704.92592211364</v>
      </c>
      <c r="C18" s="2">
        <v>1.70492592211364</v>
      </c>
      <c r="D18" s="2">
        <v>6379704.92592211</v>
      </c>
      <c r="E18" s="2">
        <v>3.84041493619842E-5</v>
      </c>
      <c r="F18" s="2">
        <v>0.00220039567423172</v>
      </c>
      <c r="G18" s="2">
        <v>135.872901116927</v>
      </c>
      <c r="H18" s="2">
        <v>1.36159936326676</v>
      </c>
      <c r="I18" s="2">
        <v>78.0138969028856</v>
      </c>
      <c r="J18" s="2">
        <v>472738.945619756</v>
      </c>
      <c r="K18" s="2">
        <v>-0.00749999975396442</v>
      </c>
      <c r="L18" s="2">
        <v>303.999997710423</v>
      </c>
      <c r="M18" s="2">
        <v>2735.9999793938</v>
      </c>
      <c r="N18" s="2">
        <v>7529027.87285198</v>
      </c>
      <c r="O18" s="2">
        <v>7.52902787285198</v>
      </c>
      <c r="P18" s="2">
        <v>10836.5808308994</v>
      </c>
      <c r="Q18" s="2">
        <v>9.7934590103972</v>
      </c>
      <c r="R18" s="2">
        <v>82909.8317042776</v>
      </c>
      <c r="S18" s="2">
        <v>1.00236411386864</v>
      </c>
    </row>
    <row r="19" ht="22.5" customHeight="1">
      <c r="A19" s="2">
        <v>29.6362374380492</v>
      </c>
      <c r="B19" s="2">
        <v>1945.79176752308</v>
      </c>
      <c r="C19" s="2">
        <v>1.94579176752308</v>
      </c>
      <c r="D19" s="2">
        <v>6379945.79176752</v>
      </c>
      <c r="E19" s="2">
        <v>4.6681221887582E-5</v>
      </c>
      <c r="F19" s="2">
        <v>0.00267463699667217</v>
      </c>
      <c r="G19" s="2">
        <v>147.08802751394</v>
      </c>
      <c r="H19" s="2">
        <v>1.34852455306432</v>
      </c>
      <c r="I19" s="2">
        <v>77.2647654603511</v>
      </c>
      <c r="J19" s="2">
        <v>467969.254737489</v>
      </c>
      <c r="K19" s="2">
        <v>-0.00749999975043322</v>
      </c>
      <c r="L19" s="2">
        <v>303.999997550939</v>
      </c>
      <c r="M19" s="2">
        <v>2735.99997795845</v>
      </c>
      <c r="N19" s="2">
        <v>7544747.32006566</v>
      </c>
      <c r="O19" s="2">
        <v>7.54474732006566</v>
      </c>
      <c r="P19" s="2">
        <v>12344.5298583724</v>
      </c>
      <c r="Q19" s="2">
        <v>9.79271954792138</v>
      </c>
      <c r="R19" s="2">
        <v>80593.3785362533</v>
      </c>
      <c r="S19" s="2">
        <v>0.974358635153322</v>
      </c>
    </row>
    <row r="20" ht="22.5" customHeight="1">
      <c r="A20" s="2">
        <v>31.3795455226403</v>
      </c>
      <c r="B20" s="2">
        <v>2205.31809404348</v>
      </c>
      <c r="C20" s="2">
        <v>2.20531809404348</v>
      </c>
      <c r="D20" s="2">
        <v>6380205.31809404</v>
      </c>
      <c r="E20" s="2">
        <v>5.61580825809465E-5</v>
      </c>
      <c r="F20" s="2">
        <v>0.00321762111743538</v>
      </c>
      <c r="G20" s="2">
        <v>158.693839447105</v>
      </c>
      <c r="H20" s="2">
        <v>1.33544974286822</v>
      </c>
      <c r="I20" s="2">
        <v>76.5156340181804</v>
      </c>
      <c r="J20" s="2">
        <v>463199.563857759</v>
      </c>
      <c r="K20" s="2">
        <v>-0.00749999974668062</v>
      </c>
      <c r="L20" s="2">
        <v>303.999997386989</v>
      </c>
      <c r="M20" s="2">
        <v>2735.9999764829</v>
      </c>
      <c r="N20" s="2">
        <v>7561193.40096281</v>
      </c>
      <c r="O20" s="2">
        <v>7.56119340096281</v>
      </c>
      <c r="P20" s="2">
        <v>13937.3415003731</v>
      </c>
      <c r="Q20" s="2">
        <v>9.79192289116355</v>
      </c>
      <c r="R20" s="2">
        <v>78169.84700173</v>
      </c>
      <c r="S20" s="2">
        <v>0.945058599330069</v>
      </c>
    </row>
    <row r="21" ht="22.5" customHeight="1">
      <c r="A21" s="2">
        <v>33.1228536072314</v>
      </c>
      <c r="B21" s="2">
        <v>2484.0141960838</v>
      </c>
      <c r="C21" s="2">
        <v>2.4840141960838</v>
      </c>
      <c r="D21" s="2">
        <v>6380484.01419608</v>
      </c>
      <c r="E21" s="2">
        <v>6.69383517132979E-5</v>
      </c>
      <c r="F21" s="2">
        <v>0.00383528504073427</v>
      </c>
      <c r="G21" s="2">
        <v>170.702639317045</v>
      </c>
      <c r="H21" s="2">
        <v>1.32237493267887</v>
      </c>
      <c r="I21" s="2">
        <v>75.766502576396</v>
      </c>
      <c r="J21" s="2">
        <v>458429.872980637</v>
      </c>
      <c r="K21" s="2">
        <v>-0.00749999974270005</v>
      </c>
      <c r="L21" s="2">
        <v>303.999997218519</v>
      </c>
      <c r="M21" s="2">
        <v>2735.99997496667</v>
      </c>
      <c r="N21" s="2">
        <v>7578303.97805252</v>
      </c>
      <c r="O21" s="2">
        <v>7.57830397805252</v>
      </c>
      <c r="P21" s="2">
        <v>15606.3279098255</v>
      </c>
      <c r="Q21" s="2">
        <v>9.79106749801933</v>
      </c>
      <c r="R21" s="2">
        <v>75648.3938188879</v>
      </c>
      <c r="S21" s="2">
        <v>0.914574709382064</v>
      </c>
    </row>
    <row r="22" ht="22.5" customHeight="1">
      <c r="A22" s="2">
        <v>34.8661616918226</v>
      </c>
      <c r="B22" s="2">
        <v>2782.39373844329</v>
      </c>
      <c r="C22" s="2">
        <v>2.78239373844329</v>
      </c>
      <c r="D22" s="2">
        <v>6380782.39373844</v>
      </c>
      <c r="E22" s="2">
        <v>7.9130129386593E-5</v>
      </c>
      <c r="F22" s="2">
        <v>0.0045338224461759</v>
      </c>
      <c r="G22" s="2">
        <v>183.126804295854</v>
      </c>
      <c r="H22" s="2">
        <v>1.30930012249667</v>
      </c>
      <c r="I22" s="2">
        <v>75.0173711350209</v>
      </c>
      <c r="J22" s="2">
        <v>453660.182106193</v>
      </c>
      <c r="K22" s="2">
        <v>-0.00749999973848388</v>
      </c>
      <c r="L22" s="2">
        <v>303.99999704547</v>
      </c>
      <c r="M22" s="2">
        <v>2735.99997340923</v>
      </c>
      <c r="N22" s="2">
        <v>7596011.72282777</v>
      </c>
      <c r="O22" s="2">
        <v>7.59601172282777</v>
      </c>
      <c r="P22" s="2">
        <v>17341.1878753554</v>
      </c>
      <c r="Q22" s="2">
        <v>9.79015181534842</v>
      </c>
      <c r="R22" s="2">
        <v>73038.9406655269</v>
      </c>
      <c r="S22" s="2">
        <v>0.883026916508961</v>
      </c>
    </row>
    <row r="23" ht="22.5" customHeight="1">
      <c r="A23" s="2">
        <v>36.6094697764137</v>
      </c>
      <c r="B23" s="2">
        <v>3100.97394658953</v>
      </c>
      <c r="C23" s="2">
        <v>3.10097394658953</v>
      </c>
      <c r="D23" s="2">
        <v>6381100.97394659</v>
      </c>
      <c r="E23" s="2">
        <v>9.28461129072848E-5</v>
      </c>
      <c r="F23" s="2">
        <v>0.00531969041378253</v>
      </c>
      <c r="G23" s="2">
        <v>195.978776238484</v>
      </c>
      <c r="H23" s="2">
        <v>1.29622531232202</v>
      </c>
      <c r="I23" s="2">
        <v>74.2682396940791</v>
      </c>
      <c r="J23" s="2">
        <v>448890.491234502</v>
      </c>
      <c r="K23" s="2">
        <v>-0.0074999997340234</v>
      </c>
      <c r="L23" s="2">
        <v>303.999996867773</v>
      </c>
      <c r="M23" s="2">
        <v>2735.99997180996</v>
      </c>
      <c r="N23" s="2">
        <v>7614244.58364974</v>
      </c>
      <c r="O23" s="2">
        <v>7.61424458364974</v>
      </c>
      <c r="P23" s="2">
        <v>19130.0332606388</v>
      </c>
      <c r="Q23" s="2">
        <v>9.7891742816099</v>
      </c>
      <c r="R23" s="2">
        <v>70352.1052305789</v>
      </c>
      <c r="S23" s="2">
        <v>0.850543586552767</v>
      </c>
    </row>
    <row r="24" ht="22.5" customHeight="1">
      <c r="A24" s="2">
        <v>38.3527778610048</v>
      </c>
      <c r="B24" s="2">
        <v>3440.27475026715</v>
      </c>
      <c r="C24" s="2">
        <v>3.44027475026715</v>
      </c>
      <c r="D24" s="2">
        <v>6381440.27475026</v>
      </c>
      <c r="E24" s="2">
        <v>1.08203710642821E-4</v>
      </c>
      <c r="F24" s="2">
        <v>0.00619961594748847</v>
      </c>
      <c r="G24" s="2">
        <v>209.271052897828</v>
      </c>
      <c r="H24" s="2">
        <v>1.28315050215538</v>
      </c>
      <c r="I24" s="2">
        <v>73.5191082535955</v>
      </c>
      <c r="J24" s="2">
        <v>444120.800365635</v>
      </c>
      <c r="K24" s="2">
        <v>-0.00749999972930878</v>
      </c>
      <c r="L24" s="2">
        <v>303.999996685347</v>
      </c>
      <c r="M24" s="2">
        <v>2735.99997016812</v>
      </c>
      <c r="N24" s="2">
        <v>7632926.33623006</v>
      </c>
      <c r="O24" s="2">
        <v>7.63292633623006</v>
      </c>
      <c r="P24" s="2">
        <v>20959.4511563925</v>
      </c>
      <c r="Q24" s="2">
        <v>9.78813332964395</v>
      </c>
      <c r="R24" s="2">
        <v>67599.1200938196</v>
      </c>
      <c r="S24" s="2">
        <v>0.817260519268976</v>
      </c>
    </row>
    <row r="25" ht="22.5" customHeight="1">
      <c r="A25" s="2">
        <v>40.0960859455959</v>
      </c>
      <c r="B25" s="2">
        <v>3800.81788343562</v>
      </c>
      <c r="C25" s="2">
        <v>3.80081788343562</v>
      </c>
      <c r="D25" s="2">
        <v>6381800.81788343</v>
      </c>
      <c r="E25" s="2">
        <v>1.25325152129492E-4</v>
      </c>
      <c r="F25" s="2">
        <v>0.00718060228385491</v>
      </c>
      <c r="G25" s="2">
        <v>223.016180700531</v>
      </c>
      <c r="H25" s="2">
        <v>1.27007569199718</v>
      </c>
      <c r="I25" s="2">
        <v>72.7699768135961</v>
      </c>
      <c r="J25" s="2">
        <v>439351.109499669</v>
      </c>
      <c r="K25" s="2">
        <v>-0.00749999972432895</v>
      </c>
      <c r="L25" s="2">
        <v>303.999996498095</v>
      </c>
      <c r="M25" s="2">
        <v>2735.99996848285</v>
      </c>
      <c r="N25" s="2">
        <v>7651977.21229386</v>
      </c>
      <c r="O25" s="2">
        <v>7.65197721229386</v>
      </c>
      <c r="P25" s="2">
        <v>22814.6040544984</v>
      </c>
      <c r="Q25" s="2">
        <v>9.78702738958984</v>
      </c>
      <c r="R25" s="2">
        <v>64791.7400846667</v>
      </c>
      <c r="S25" s="2">
        <v>0.783319828312033</v>
      </c>
    </row>
    <row r="26" ht="22.5" customHeight="1">
      <c r="A26" s="2">
        <v>41.8393940301871</v>
      </c>
      <c r="B26" s="2">
        <v>4183.12594396472</v>
      </c>
      <c r="C26" s="2">
        <v>4.18312594396472</v>
      </c>
      <c r="D26" s="2">
        <v>6382183.12594396</v>
      </c>
      <c r="E26" s="2">
        <v>1.44337594258677E-4</v>
      </c>
      <c r="F26" s="2">
        <v>0.0082699349760939</v>
      </c>
      <c r="G26" s="2">
        <v>237.226749331139</v>
      </c>
      <c r="H26" s="2">
        <v>1.25700088184791</v>
      </c>
      <c r="I26" s="2">
        <v>72.020845374108</v>
      </c>
      <c r="J26" s="2">
        <v>434581.418636679</v>
      </c>
      <c r="K26" s="2">
        <v>-0.00749999971907156</v>
      </c>
      <c r="L26" s="2">
        <v>303.999996305899</v>
      </c>
      <c r="M26" s="2">
        <v>2735.99996675309</v>
      </c>
      <c r="N26" s="2">
        <v>7671314.59996909</v>
      </c>
      <c r="O26" s="2">
        <v>7.67131459996909</v>
      </c>
      <c r="P26" s="2">
        <v>24679.369424142</v>
      </c>
      <c r="Q26" s="2">
        <v>9.7858548919292</v>
      </c>
      <c r="R26" s="2">
        <v>61942.1390712515</v>
      </c>
      <c r="S26" s="2">
        <v>0.74886869343482</v>
      </c>
    </row>
    <row r="27" ht="22.5" customHeight="1">
      <c r="A27" s="2">
        <v>43.5827021147782</v>
      </c>
      <c r="B27" s="2">
        <v>4587.72141690113</v>
      </c>
      <c r="C27" s="2">
        <v>4.58772141690113</v>
      </c>
      <c r="D27" s="2">
        <v>6382587.7214169</v>
      </c>
      <c r="E27" s="2">
        <v>1.65373223432727E-4</v>
      </c>
      <c r="F27" s="2">
        <v>0.00947518774716926</v>
      </c>
      <c r="G27" s="2">
        <v>251.915388357837</v>
      </c>
      <c r="H27" s="2">
        <v>1.24392607170805</v>
      </c>
      <c r="I27" s="2">
        <v>71.2717139351596</v>
      </c>
      <c r="J27" s="2">
        <v>429811.727776745</v>
      </c>
      <c r="K27" s="2">
        <v>-0.00749999971352286</v>
      </c>
      <c r="L27" s="2">
        <v>303.999996108619</v>
      </c>
      <c r="M27" s="2">
        <v>2735.99996497757</v>
      </c>
      <c r="N27" s="2">
        <v>7690853.8074093</v>
      </c>
      <c r="O27" s="2">
        <v>7.6908538074093</v>
      </c>
      <c r="P27" s="2">
        <v>26536.5189677052</v>
      </c>
      <c r="Q27" s="2">
        <v>9.78461427064219</v>
      </c>
      <c r="R27" s="2">
        <v>59062.7974312465</v>
      </c>
      <c r="S27" s="2">
        <v>0.714058000032341</v>
      </c>
    </row>
    <row r="28" ht="22.5" customHeight="1">
      <c r="A28" s="2">
        <v>45.3260101993693</v>
      </c>
      <c r="B28" s="2">
        <v>5015.12566544861</v>
      </c>
      <c r="C28" s="2">
        <v>5.01512566544861</v>
      </c>
      <c r="D28" s="2">
        <v>6383015.12566544</v>
      </c>
      <c r="E28" s="2">
        <v>1.88569353650586E-4</v>
      </c>
      <c r="F28" s="2">
        <v>0.0108042281096884</v>
      </c>
      <c r="G28" s="2">
        <v>267.09476611391</v>
      </c>
      <c r="H28" s="2">
        <v>1.23085126157814</v>
      </c>
      <c r="I28" s="2">
        <v>70.5225824967807</v>
      </c>
      <c r="J28" s="2">
        <v>425042.036919947</v>
      </c>
      <c r="K28" s="2">
        <v>-0.00749999970766765</v>
      </c>
      <c r="L28" s="2">
        <v>303.999995906081</v>
      </c>
      <c r="M28" s="2">
        <v>2735.99996315472</v>
      </c>
      <c r="N28" s="2">
        <v>7710508.87918763</v>
      </c>
      <c r="O28" s="2">
        <v>7.71050887918763</v>
      </c>
      <c r="P28" s="2">
        <v>28367.9365852202</v>
      </c>
      <c r="Q28" s="2">
        <v>9.78330396646297</v>
      </c>
      <c r="R28" s="2">
        <v>56166.3817462258</v>
      </c>
      <c r="S28" s="2">
        <v>0.679040884669396</v>
      </c>
    </row>
    <row r="29" ht="22.5" customHeight="1">
      <c r="A29" s="2">
        <v>47.0693182839605</v>
      </c>
      <c r="B29" s="2">
        <v>5465.85789406891</v>
      </c>
      <c r="C29" s="2">
        <v>5.46585789406891</v>
      </c>
      <c r="D29" s="2">
        <v>6383465.85789406</v>
      </c>
      <c r="E29" s="2">
        <v>2.14068520555677E-4</v>
      </c>
      <c r="F29" s="2">
        <v>0.0122652227544498</v>
      </c>
      <c r="G29" s="2">
        <v>282.77759102587</v>
      </c>
      <c r="H29" s="2">
        <v>1.21777645145872</v>
      </c>
      <c r="I29" s="2">
        <v>69.7734510590027</v>
      </c>
      <c r="J29" s="2">
        <v>420272.34606637</v>
      </c>
      <c r="K29" s="2">
        <v>-0.00749999970148911</v>
      </c>
      <c r="L29" s="2">
        <v>303.999995698078</v>
      </c>
      <c r="M29" s="2">
        <v>2735.9999612827</v>
      </c>
      <c r="N29" s="2">
        <v>7730193.45316959</v>
      </c>
      <c r="O29" s="2">
        <v>7.73019345316959</v>
      </c>
      <c r="P29" s="2">
        <v>30154.8727175129</v>
      </c>
      <c r="Q29" s="2">
        <v>9.78192243022012</v>
      </c>
      <c r="R29" s="2">
        <v>53265.6185309735</v>
      </c>
      <c r="S29" s="2">
        <v>0.643971208491907</v>
      </c>
    </row>
    <row r="30" ht="22.5" customHeight="1">
      <c r="A30" s="2">
        <v>48.8126263685516</v>
      </c>
      <c r="B30" s="2">
        <v>5940.4340883047</v>
      </c>
      <c r="C30" s="2">
        <v>5.9404340883047</v>
      </c>
      <c r="D30" s="2">
        <v>6383940.4340883</v>
      </c>
      <c r="E30" s="2">
        <v>2.42018571553363E-4</v>
      </c>
      <c r="F30" s="2">
        <v>0.0138666427137926</v>
      </c>
      <c r="G30" s="2">
        <v>298.976615552343</v>
      </c>
      <c r="H30" s="2">
        <v>1.20470164135036</v>
      </c>
      <c r="I30" s="2">
        <v>69.024319621859</v>
      </c>
      <c r="J30" s="2">
        <v>415502.655216101</v>
      </c>
      <c r="K30" s="2">
        <v>-0.0074999996949687</v>
      </c>
      <c r="L30" s="2">
        <v>303.999995484361</v>
      </c>
      <c r="M30" s="2">
        <v>2735.99995935925</v>
      </c>
      <c r="N30" s="2">
        <v>7749821.64395673</v>
      </c>
      <c r="O30" s="2">
        <v>7.74982164395673</v>
      </c>
      <c r="P30" s="2">
        <v>31878.2313175826</v>
      </c>
      <c r="Q30" s="2">
        <v>9.78046812624713</v>
      </c>
      <c r="R30" s="2">
        <v>50373.164047238</v>
      </c>
      <c r="S30" s="2">
        <v>0.609001983299941</v>
      </c>
    </row>
    <row r="31" ht="22.5" customHeight="1">
      <c r="A31" s="2">
        <v>50.5559344531427</v>
      </c>
      <c r="B31" s="2">
        <v>6439.36593604355</v>
      </c>
      <c r="C31" s="2">
        <v>6.43936593604355</v>
      </c>
      <c r="D31" s="2">
        <v>6384439.36593604</v>
      </c>
      <c r="E31" s="2">
        <v>2.72572752181044E-4</v>
      </c>
      <c r="F31" s="2">
        <v>0.0156172683102391</v>
      </c>
      <c r="G31" s="2">
        <v>315.704642868409</v>
      </c>
      <c r="H31" s="2">
        <v>1.19162683125369</v>
      </c>
      <c r="I31" s="2">
        <v>68.2751881853847</v>
      </c>
      <c r="J31" s="2">
        <v>410732.964369233</v>
      </c>
      <c r="K31" s="2">
        <v>-0.00749999968808602</v>
      </c>
      <c r="L31" s="2">
        <v>303.999995264635</v>
      </c>
      <c r="M31" s="2">
        <v>2735.99995738171</v>
      </c>
      <c r="N31" s="2">
        <v>7769308.93766434</v>
      </c>
      <c r="O31" s="2">
        <v>7.76930893766434</v>
      </c>
      <c r="P31" s="2">
        <v>33518.8842745403</v>
      </c>
      <c r="Q31" s="2">
        <v>9.77893953584749</v>
      </c>
      <c r="R31" s="2">
        <v>47501.4724472885</v>
      </c>
      <c r="S31" s="2">
        <v>0.574283777428358</v>
      </c>
    </row>
    <row r="32" ht="22.5" customHeight="1">
      <c r="A32" s="2">
        <v>52.2992425377338</v>
      </c>
      <c r="B32" s="2">
        <v>6963.15973498086</v>
      </c>
      <c r="C32" s="2">
        <v>6.96315973498086</v>
      </c>
      <c r="D32" s="2">
        <v>6384963.15973498</v>
      </c>
      <c r="E32" s="2">
        <v>3.05889788989435E-4</v>
      </c>
      <c r="F32" s="2">
        <v>0.0175261939052419</v>
      </c>
      <c r="G32" s="2">
        <v>332.97453639884</v>
      </c>
      <c r="H32" s="2">
        <v>1.17855202116935</v>
      </c>
      <c r="I32" s="2">
        <v>67.526056749617</v>
      </c>
      <c r="J32" s="2">
        <v>405963.273525862</v>
      </c>
      <c r="K32" s="2">
        <v>-0.00749999968081863</v>
      </c>
      <c r="L32" s="2">
        <v>303.999995038545</v>
      </c>
      <c r="M32" s="2">
        <v>2735.9999553469</v>
      </c>
      <c r="N32" s="2">
        <v>7788573.08182062</v>
      </c>
      <c r="O32" s="2">
        <v>7.78857308182062</v>
      </c>
      <c r="P32" s="2">
        <v>35058.0067490893</v>
      </c>
      <c r="Q32" s="2">
        <v>9.77733516079884</v>
      </c>
      <c r="R32" s="2">
        <v>44662.6646363685</v>
      </c>
      <c r="S32" s="2">
        <v>0.53996313031879</v>
      </c>
    </row>
    <row r="33" ht="22.5" customHeight="1">
      <c r="A33" s="2">
        <v>54.042550622325</v>
      </c>
      <c r="B33" s="2">
        <v>7512.31529099874</v>
      </c>
      <c r="C33" s="2">
        <v>7.51231529099874</v>
      </c>
      <c r="D33" s="2">
        <v>6385512.31529099</v>
      </c>
      <c r="E33" s="2">
        <v>3.42133969267533E-4</v>
      </c>
      <c r="F33" s="2">
        <v>0.0196028324670882</v>
      </c>
      <c r="G33" s="2">
        <v>350.799232271882</v>
      </c>
      <c r="H33" s="2">
        <v>1.16547721109804</v>
      </c>
      <c r="I33" s="2">
        <v>66.7769253145957</v>
      </c>
      <c r="J33" s="2">
        <v>401193.582686091</v>
      </c>
      <c r="K33" s="2">
        <v>-0.00749999967314188</v>
      </c>
      <c r="L33" s="2">
        <v>303.999994805677</v>
      </c>
      <c r="M33" s="2">
        <v>2735.9999532511</v>
      </c>
      <c r="N33" s="2">
        <v>7807534.95361163</v>
      </c>
      <c r="O33" s="2">
        <v>7.80753495361163</v>
      </c>
      <c r="P33" s="2">
        <v>36477.425642899</v>
      </c>
      <c r="Q33" s="2">
        <v>9.77565352688071</v>
      </c>
      <c r="R33" s="2">
        <v>41868.4003261748</v>
      </c>
      <c r="S33" s="2">
        <v>0.506181005670507</v>
      </c>
    </row>
    <row r="34" ht="22.5" customHeight="1">
      <c r="A34" s="2">
        <v>55.7858587069161</v>
      </c>
      <c r="B34" s="2">
        <v>8087.32481205882</v>
      </c>
      <c r="C34" s="2">
        <v>8.08732481205882</v>
      </c>
      <c r="D34" s="2">
        <v>6386087.32481205</v>
      </c>
      <c r="E34" s="2">
        <v>3.81475218015021E-4</v>
      </c>
      <c r="F34" s="2">
        <v>0.0218569199810937</v>
      </c>
      <c r="G34" s="2">
        <v>369.191754733841</v>
      </c>
      <c r="H34" s="2">
        <v>1.15240240104049</v>
      </c>
      <c r="I34" s="2">
        <v>66.027793880363</v>
      </c>
      <c r="J34" s="2">
        <v>396423.891850031</v>
      </c>
      <c r="K34" s="2">
        <v>-0.00749999966502869</v>
      </c>
      <c r="L34" s="2">
        <v>303.999994565544</v>
      </c>
      <c r="M34" s="2">
        <v>2735.9999510899</v>
      </c>
      <c r="N34" s="2">
        <v>7826119.38959028</v>
      </c>
      <c r="O34" s="2">
        <v>7.82611938959028</v>
      </c>
      <c r="P34" s="2">
        <v>37759.9723857854</v>
      </c>
      <c r="Q34" s="2">
        <v>9.77389318741077</v>
      </c>
      <c r="R34" s="2">
        <v>39129.7557670628</v>
      </c>
      <c r="S34" s="2">
        <v>0.47307131324601</v>
      </c>
    </row>
    <row r="35" ht="22.5" customHeight="1">
      <c r="A35" s="2">
        <v>57.5291667915072</v>
      </c>
      <c r="B35" s="2">
        <v>8688.67180201361</v>
      </c>
      <c r="C35" s="2">
        <v>8.68867180201361</v>
      </c>
      <c r="D35" s="2">
        <v>6386688.67180201</v>
      </c>
      <c r="E35" s="2">
        <v>4.24089172633376E-4</v>
      </c>
      <c r="F35" s="2">
        <v>0.0242985197290874</v>
      </c>
      <c r="G35" s="2">
        <v>388.165234534959</v>
      </c>
      <c r="H35" s="2">
        <v>1.13932759099749</v>
      </c>
      <c r="I35" s="2">
        <v>65.2786624469639</v>
      </c>
      <c r="J35" s="2">
        <v>391654.2010178</v>
      </c>
      <c r="K35" s="2">
        <v>-0.00749999965644931</v>
      </c>
      <c r="L35" s="2">
        <v>303.999994317578</v>
      </c>
      <c r="M35" s="2">
        <v>2735.9999488582</v>
      </c>
      <c r="N35" s="2">
        <v>7844255.96035026</v>
      </c>
      <c r="O35" s="2">
        <v>7.84425596035026</v>
      </c>
      <c r="P35" s="2">
        <v>38889.830450409</v>
      </c>
      <c r="Q35" s="2">
        <v>9.77205272677506</v>
      </c>
      <c r="R35" s="2">
        <v>36457.109590351</v>
      </c>
      <c r="S35" s="2">
        <v>0.440759528726178</v>
      </c>
    </row>
    <row r="36" ht="22.5" customHeight="1">
      <c r="A36" s="2">
        <v>59.2724748760984</v>
      </c>
      <c r="B36" s="2">
        <v>9316.82995847909</v>
      </c>
      <c r="C36" s="2">
        <v>9.31682995847909</v>
      </c>
      <c r="D36" s="2">
        <v>6387316.82995847</v>
      </c>
      <c r="E36" s="2">
        <v>4.70157255869959E-4</v>
      </c>
      <c r="F36" s="2">
        <v>0.026938026468801</v>
      </c>
      <c r="G36" s="2">
        <v>407.732930269972</v>
      </c>
      <c r="H36" s="2">
        <v>1.12625278096989</v>
      </c>
      <c r="I36" s="2">
        <v>64.5295310144467</v>
      </c>
      <c r="J36" s="2">
        <v>386884.510189526</v>
      </c>
      <c r="K36" s="2">
        <v>-0.00749999964737107</v>
      </c>
      <c r="L36" s="2">
        <v>303.999994061119</v>
      </c>
      <c r="M36" s="2">
        <v>2735.99994655007</v>
      </c>
      <c r="N36" s="2">
        <v>7861879.67454749</v>
      </c>
      <c r="O36" s="2">
        <v>7.86187967454749</v>
      </c>
      <c r="P36" s="2">
        <v>39852.8675525087</v>
      </c>
      <c r="Q36" s="2">
        <v>9.77013076393835</v>
      </c>
      <c r="R36" s="2">
        <v>33860.0390621162</v>
      </c>
      <c r="S36" s="2">
        <v>0.409361439438365</v>
      </c>
    </row>
    <row r="37" ht="22.5" customHeight="1">
      <c r="A37" s="2">
        <v>61.0157829606895</v>
      </c>
      <c r="B37" s="2">
        <v>9972.26207858862</v>
      </c>
      <c r="C37" s="2">
        <v>9.97226207858862</v>
      </c>
      <c r="D37" s="2">
        <v>6387972.26207858</v>
      </c>
      <c r="E37" s="2">
        <v>5.19866747607187E-4</v>
      </c>
      <c r="F37" s="2">
        <v>0.0297861705470846</v>
      </c>
      <c r="G37" s="2">
        <v>427.908252633262</v>
      </c>
      <c r="H37" s="2">
        <v>1.11317797095857</v>
      </c>
      <c r="I37" s="2">
        <v>63.780399582863</v>
      </c>
      <c r="J37" s="2">
        <v>382114.819365349</v>
      </c>
      <c r="K37" s="2">
        <v>-0.00749999963775804</v>
      </c>
      <c r="L37" s="2">
        <v>303.999993795406</v>
      </c>
      <c r="M37" s="2">
        <v>2735.99994415865</v>
      </c>
      <c r="N37" s="2">
        <v>7878931.59802567</v>
      </c>
      <c r="O37" s="2">
        <v>7.87893159802567</v>
      </c>
      <c r="P37" s="2">
        <v>40636.9424117652</v>
      </c>
      <c r="Q37" s="2">
        <v>9.768125955922</v>
      </c>
      <c r="R37" s="2">
        <v>31347.2288474434</v>
      </c>
      <c r="S37" s="2">
        <v>0.378982041333513</v>
      </c>
    </row>
    <row r="38" ht="22.5" customHeight="1">
      <c r="A38" s="2">
        <v>62.7590910452806</v>
      </c>
      <c r="B38" s="2">
        <v>10655.4189760741</v>
      </c>
      <c r="C38" s="2">
        <v>10.6554189760741</v>
      </c>
      <c r="D38" s="2">
        <v>6388655.41897607</v>
      </c>
      <c r="E38" s="2">
        <v>5.73410856141211E-4</v>
      </c>
      <c r="F38" s="2">
        <v>0.0328540219838746</v>
      </c>
      <c r="G38" s="2">
        <v>448.704791529591</v>
      </c>
      <c r="H38" s="2">
        <v>1.10010316096452</v>
      </c>
      <c r="I38" s="2">
        <v>63.0312681522681</v>
      </c>
      <c r="J38" s="2">
        <v>377345.12854542</v>
      </c>
      <c r="K38" s="2">
        <v>-0.0074999996275707</v>
      </c>
      <c r="L38" s="2">
        <v>303.999993519559</v>
      </c>
      <c r="M38" s="2">
        <v>2735.99994167603</v>
      </c>
      <c r="N38" s="2">
        <v>7895359.37563837</v>
      </c>
      <c r="O38" s="2">
        <v>7.89535937563837</v>
      </c>
      <c r="P38" s="2">
        <v>41232.17626462</v>
      </c>
      <c r="Q38" s="2">
        <v>9.7660370012376</v>
      </c>
      <c r="R38" s="2">
        <v>28926.3941135132</v>
      </c>
      <c r="S38" s="2">
        <v>0.349714609317086</v>
      </c>
    </row>
    <row r="39" ht="22.5" customHeight="1">
      <c r="A39" s="2">
        <v>64.5023991298718</v>
      </c>
      <c r="B39" s="2">
        <v>11366.7384127049</v>
      </c>
      <c r="C39" s="2">
        <v>11.3667384127049</v>
      </c>
      <c r="D39" s="2">
        <v>6389366.7384127</v>
      </c>
      <c r="E39" s="2">
        <v>6.3098878964119E-4</v>
      </c>
      <c r="F39" s="2">
        <v>0.0361529945665083</v>
      </c>
      <c r="G39" s="2">
        <v>470.13634596756</v>
      </c>
      <c r="H39" s="2">
        <v>1.08702835098876</v>
      </c>
      <c r="I39" s="2">
        <v>62.2821367227217</v>
      </c>
      <c r="J39" s="2">
        <v>372575.437729906</v>
      </c>
      <c r="K39" s="2">
        <v>-0.00749999961676553</v>
      </c>
      <c r="L39" s="2">
        <v>303.999993232571</v>
      </c>
      <c r="M39" s="2">
        <v>2735.99993909314</v>
      </c>
      <c r="N39" s="2">
        <v>7911117.6456093</v>
      </c>
      <c r="O39" s="2">
        <v>7.9111176456093</v>
      </c>
      <c r="P39" s="2">
        <v>41631.1800472103</v>
      </c>
      <c r="Q39" s="2">
        <v>9.76386264326601</v>
      </c>
      <c r="R39" s="2">
        <v>26604.2194685023</v>
      </c>
      <c r="S39" s="2">
        <v>0.32163995903198</v>
      </c>
    </row>
    <row r="40" ht="22.5" customHeight="1">
      <c r="A40" s="2">
        <v>66.2457072144629</v>
      </c>
      <c r="B40" s="2">
        <v>12106.6440466681</v>
      </c>
      <c r="C40" s="2">
        <v>12.1066440466681</v>
      </c>
      <c r="D40" s="2">
        <v>6390106.64404666</v>
      </c>
      <c r="E40" s="2">
        <v>6.92805828521427E-4</v>
      </c>
      <c r="F40" s="2">
        <v>0.039694849996342</v>
      </c>
      <c r="G40" s="2">
        <v>492.216956654806</v>
      </c>
      <c r="H40" s="2">
        <v>1.07395354103242</v>
      </c>
      <c r="I40" s="2">
        <v>61.5330052942877</v>
      </c>
      <c r="J40" s="2">
        <v>367805.746918992</v>
      </c>
      <c r="K40" s="2">
        <v>-0.00749999960529455</v>
      </c>
      <c r="L40" s="2">
        <v>303.999992933284</v>
      </c>
      <c r="M40" s="2">
        <v>2735.99993639956</v>
      </c>
      <c r="N40" s="2">
        <v>7926168.33886493</v>
      </c>
      <c r="O40" s="2">
        <v>7.92616833886493</v>
      </c>
      <c r="P40" s="2">
        <v>41829.2292944092</v>
      </c>
      <c r="Q40" s="2">
        <v>9.76160167357297</v>
      </c>
      <c r="R40" s="2">
        <v>24386.3148512002</v>
      </c>
      <c r="S40" s="2">
        <v>0.294825913572368</v>
      </c>
    </row>
    <row r="41" ht="22.5" customHeight="1">
      <c r="A41" s="2">
        <v>67.989015299054</v>
      </c>
      <c r="B41" s="2">
        <v>12875.544400011</v>
      </c>
      <c r="C41" s="2">
        <v>12.875544400011</v>
      </c>
      <c r="D41" s="2">
        <v>6390875.54440001</v>
      </c>
      <c r="E41" s="2">
        <v>7.59073399494682E-4</v>
      </c>
      <c r="F41" s="2">
        <v>0.0434917021316931</v>
      </c>
      <c r="G41" s="2">
        <v>514.960941211613</v>
      </c>
      <c r="H41" s="2">
        <v>1.0608787310967</v>
      </c>
      <c r="I41" s="2">
        <v>60.7838738670355</v>
      </c>
      <c r="J41" s="2">
        <v>363036.05611288</v>
      </c>
      <c r="K41" s="2">
        <v>-0.00749999959310479</v>
      </c>
      <c r="L41" s="2">
        <v>303.999992620375</v>
      </c>
      <c r="M41" s="2">
        <v>2735.99993358337</v>
      </c>
      <c r="N41" s="2">
        <v>7940480.8586248</v>
      </c>
      <c r="O41" s="2">
        <v>7.9404808586248</v>
      </c>
      <c r="P41" s="2">
        <v>41824.3802983553</v>
      </c>
      <c r="Q41" s="2">
        <v>9.75925293515356</v>
      </c>
      <c r="R41" s="2">
        <v>22277.189066115</v>
      </c>
      <c r="S41" s="2">
        <v>0.269326983528161</v>
      </c>
    </row>
    <row r="42" ht="22.5" customHeight="1">
      <c r="A42" s="2">
        <v>69.7323233836452</v>
      </c>
      <c r="B42" s="2">
        <v>13673.8318467888</v>
      </c>
      <c r="C42" s="2">
        <v>13.6738318467888</v>
      </c>
      <c r="D42" s="2">
        <v>6391673.83184678</v>
      </c>
      <c r="E42" s="2">
        <v>8.30009152106469E-4</v>
      </c>
      <c r="F42" s="2">
        <v>0.0475560213729326</v>
      </c>
      <c r="G42" s="2">
        <v>538.382931923282</v>
      </c>
      <c r="H42" s="2">
        <v>1.04780392118291</v>
      </c>
      <c r="I42" s="2">
        <v>60.0347424410396</v>
      </c>
      <c r="J42" s="2">
        <v>358266.365311797</v>
      </c>
      <c r="K42" s="2">
        <v>-0.00749999958013766</v>
      </c>
      <c r="L42" s="2">
        <v>303.999992292328</v>
      </c>
      <c r="M42" s="2">
        <v>2735.99993063095</v>
      </c>
      <c r="N42" s="2">
        <v>7954032.13854528</v>
      </c>
      <c r="O42" s="2">
        <v>7.95403213854528</v>
      </c>
      <c r="P42" s="2">
        <v>41617.5228841266</v>
      </c>
      <c r="Q42" s="2">
        <v>9.75681532559953</v>
      </c>
      <c r="R42" s="2">
        <v>20280.2412151854</v>
      </c>
      <c r="S42" s="2">
        <v>0.245184263396024</v>
      </c>
    </row>
    <row r="43" ht="22.5" customHeight="1">
      <c r="A43" s="2">
        <v>71.4756314682363</v>
      </c>
      <c r="B43" s="2">
        <v>14501.8816230927</v>
      </c>
      <c r="C43" s="2">
        <v>14.5018816230927</v>
      </c>
      <c r="D43" s="2">
        <v>6392501.88162309</v>
      </c>
      <c r="E43" s="2">
        <v>9.0583703857793E-4</v>
      </c>
      <c r="F43" s="2">
        <v>0.0519006392371445</v>
      </c>
      <c r="G43" s="2">
        <v>562.497915961004</v>
      </c>
      <c r="H43" s="2">
        <v>1.03472911129247</v>
      </c>
      <c r="I43" s="2">
        <v>59.285611016381</v>
      </c>
      <c r="J43" s="2">
        <v>353496.674515992</v>
      </c>
      <c r="K43" s="2">
        <v>-0.00749999956632825</v>
      </c>
      <c r="L43" s="2">
        <v>303.999991947408</v>
      </c>
      <c r="M43" s="2">
        <v>2735.99992752667</v>
      </c>
      <c r="N43" s="2">
        <v>7966806.58077603</v>
      </c>
      <c r="O43" s="2">
        <v>7.96680658077604</v>
      </c>
      <c r="P43" s="2">
        <v>41212.3672195071</v>
      </c>
      <c r="Q43" s="2">
        <v>9.75428780018481</v>
      </c>
      <c r="R43" s="2">
        <v>18397.7698258199</v>
      </c>
      <c r="S43" s="2">
        <v>0.222425541935646</v>
      </c>
    </row>
    <row r="44" ht="22.5" customHeight="1">
      <c r="A44" s="2">
        <v>73.2189395528274</v>
      </c>
      <c r="B44" s="2">
        <v>15360.0508596686</v>
      </c>
      <c r="C44" s="2">
        <v>15.3600508596686</v>
      </c>
      <c r="D44" s="2">
        <v>6393360.05085966</v>
      </c>
      <c r="E44" s="2">
        <v>9.86787397809786E-4</v>
      </c>
      <c r="F44" s="2">
        <v>0.0565387531711978</v>
      </c>
      <c r="G44" s="2">
        <v>587.321278015898</v>
      </c>
      <c r="H44" s="2">
        <v>1.02165430142689</v>
      </c>
      <c r="I44" s="2">
        <v>58.5364795931474</v>
      </c>
      <c r="J44" s="2">
        <v>348726.983725748</v>
      </c>
      <c r="K44" s="2">
        <v>-0.00749999955160452</v>
      </c>
      <c r="L44" s="2">
        <v>303.999991583628</v>
      </c>
      <c r="M44" s="2">
        <v>2735.99992425265</v>
      </c>
      <c r="N44" s="2">
        <v>7978795.87829297</v>
      </c>
      <c r="O44" s="2">
        <v>7.97879587829297</v>
      </c>
      <c r="P44" s="2">
        <v>40615.3642924869</v>
      </c>
      <c r="Q44" s="2">
        <v>9.7516693748662</v>
      </c>
      <c r="R44" s="2">
        <v>16630.9990321844</v>
      </c>
      <c r="S44" s="2">
        <v>0.20106561869653</v>
      </c>
    </row>
    <row r="45" ht="22.5" customHeight="1">
      <c r="A45" s="2">
        <v>74.9622476374185</v>
      </c>
      <c r="B45" s="2">
        <v>16248.6776373953</v>
      </c>
      <c r="C45" s="2">
        <v>16.2486776373953</v>
      </c>
      <c r="D45" s="2">
        <v>6394248.67763739</v>
      </c>
      <c r="E45" s="2">
        <v>0.00107309704442311</v>
      </c>
      <c r="F45" s="2">
        <v>0.0614839316534069</v>
      </c>
      <c r="G45" s="2">
        <v>612.868845310779</v>
      </c>
      <c r="H45" s="2">
        <v>1.00857949158785</v>
      </c>
      <c r="I45" s="2">
        <v>57.7873481714341</v>
      </c>
      <c r="J45" s="2">
        <v>343957.292941377</v>
      </c>
      <c r="K45" s="2">
        <v>-0.00749999953588629</v>
      </c>
      <c r="L45" s="2">
        <v>303.999991198707</v>
      </c>
      <c r="M45" s="2">
        <v>2735.99992078837</v>
      </c>
      <c r="N45" s="2">
        <v>7989998.72870929</v>
      </c>
      <c r="O45" s="2">
        <v>7.98999872870929</v>
      </c>
      <c r="P45" s="2">
        <v>39835.5619654806</v>
      </c>
      <c r="Q45" s="2">
        <v>9.74895912919706</v>
      </c>
      <c r="R45" s="2">
        <v>14980.1207484855</v>
      </c>
      <c r="S45" s="2">
        <v>0.181106813884972</v>
      </c>
    </row>
    <row r="46" ht="22.5" customHeight="1">
      <c r="A46" s="2">
        <v>76.7055557220097</v>
      </c>
      <c r="B46" s="2">
        <v>17168.0800654724</v>
      </c>
      <c r="C46" s="2">
        <v>17.1680800654724</v>
      </c>
      <c r="D46" s="2">
        <v>6395168.08006547</v>
      </c>
      <c r="E46" s="2">
        <v>0.00116500936373521</v>
      </c>
      <c r="F46" s="2">
        <v>0.0667501196352492</v>
      </c>
      <c r="G46" s="2">
        <v>639.156934978699</v>
      </c>
      <c r="H46" s="2">
        <v>0.995504681777153</v>
      </c>
      <c r="I46" s="2">
        <v>57.0382167513449</v>
      </c>
      <c r="J46" s="2">
        <v>339187.602163232</v>
      </c>
      <c r="K46" s="2">
        <v>-0.00749999951908418</v>
      </c>
      <c r="L46" s="2">
        <v>303.999990790021</v>
      </c>
      <c r="M46" s="2">
        <v>2735.99991711019</v>
      </c>
      <c r="N46" s="2">
        <v>8000420.44933495</v>
      </c>
      <c r="O46" s="2">
        <v>8.00042044933495</v>
      </c>
      <c r="P46" s="2">
        <v>38884.4007448819</v>
      </c>
      <c r="Q46" s="2">
        <v>9.74615620915392</v>
      </c>
      <c r="R46" s="2">
        <v>13444.3513944778</v>
      </c>
      <c r="S46" s="2">
        <v>0.162539654164672</v>
      </c>
    </row>
    <row r="47" ht="22.5" customHeight="1">
      <c r="A47" s="2">
        <v>78.4488638066008</v>
      </c>
      <c r="B47" s="2">
        <v>18118.5553817781</v>
      </c>
      <c r="C47" s="2">
        <v>18.1185553817781</v>
      </c>
      <c r="D47" s="2">
        <v>6396118.55538177</v>
      </c>
      <c r="E47" s="2">
        <v>0.0012627744135921</v>
      </c>
      <c r="F47" s="2">
        <v>0.0723516443759353</v>
      </c>
      <c r="G47" s="2">
        <v>666.202403825689</v>
      </c>
      <c r="H47" s="2">
        <v>0.98242987199678</v>
      </c>
      <c r="I47" s="2">
        <v>56.2890853329932</v>
      </c>
      <c r="J47" s="2">
        <v>334417.911391709</v>
      </c>
      <c r="K47" s="2">
        <v>-0.00749999950109825</v>
      </c>
      <c r="L47" s="2">
        <v>303.999990354538</v>
      </c>
      <c r="M47" s="2">
        <v>2735.99991319084</v>
      </c>
      <c r="N47" s="2">
        <v>8010072.50546461</v>
      </c>
      <c r="O47" s="2">
        <v>8.01007250546461</v>
      </c>
      <c r="P47" s="2">
        <v>37775.4554845567</v>
      </c>
      <c r="Q47" s="2">
        <v>9.74325982987637</v>
      </c>
      <c r="R47" s="2">
        <v>12022.0014077758</v>
      </c>
      <c r="S47" s="2">
        <v>0.145343713047377</v>
      </c>
    </row>
    <row r="48" ht="22.5" customHeight="1">
      <c r="A48" s="2">
        <v>80.1921718911919</v>
      </c>
      <c r="B48" s="2">
        <v>19100.3790745043</v>
      </c>
      <c r="C48" s="2">
        <v>19.1003790745043</v>
      </c>
      <c r="D48" s="2">
        <v>6397100.3790745</v>
      </c>
      <c r="E48" s="2">
        <v>0.00136664903400396</v>
      </c>
      <c r="F48" s="2">
        <v>0.0783032217240581</v>
      </c>
      <c r="G48" s="2">
        <v>694.022700527038</v>
      </c>
      <c r="H48" s="2">
        <v>0.969355062248891</v>
      </c>
      <c r="I48" s="2">
        <v>55.5399539165026</v>
      </c>
      <c r="J48" s="2">
        <v>329648.220627256</v>
      </c>
      <c r="K48" s="2">
        <v>-0.00749999948181648</v>
      </c>
      <c r="L48" s="2">
        <v>303.999989888747</v>
      </c>
      <c r="M48" s="2">
        <v>2735.99990899872</v>
      </c>
      <c r="N48" s="2">
        <v>8018971.96565161</v>
      </c>
      <c r="O48" s="2">
        <v>8.01897196565161</v>
      </c>
      <c r="P48" s="2">
        <v>36524.1310748448</v>
      </c>
      <c r="Q48" s="2">
        <v>9.7402692783222</v>
      </c>
      <c r="R48" s="2">
        <v>10710.5555155969</v>
      </c>
      <c r="S48" s="2">
        <v>0.129488581363003</v>
      </c>
    </row>
    <row r="49" ht="22.5" customHeight="1">
      <c r="A49" s="2">
        <v>81.9354799757831</v>
      </c>
      <c r="B49" s="2">
        <v>20113.8040238488</v>
      </c>
      <c r="C49" s="2">
        <v>20.1138040238488</v>
      </c>
      <c r="D49" s="2">
        <v>6398113.80402384</v>
      </c>
      <c r="E49" s="2">
        <v>0.00147689696555794</v>
      </c>
      <c r="F49" s="2">
        <v>0.0846199629021483</v>
      </c>
      <c r="G49" s="2">
        <v>722.635920341249</v>
      </c>
      <c r="H49" s="2">
        <v>0.956280252535856</v>
      </c>
      <c r="I49" s="2">
        <v>54.790822502009</v>
      </c>
      <c r="J49" s="2">
        <v>324878.529870382</v>
      </c>
      <c r="K49" s="2">
        <v>-0.0074999994611129</v>
      </c>
      <c r="L49" s="2">
        <v>303.999989388557</v>
      </c>
      <c r="M49" s="2">
        <v>2735.99990449701</v>
      </c>
      <c r="N49" s="2">
        <v>8027140.89901752</v>
      </c>
      <c r="O49" s="2">
        <v>8.02714089901752</v>
      </c>
      <c r="P49" s="2">
        <v>35147.3216695966</v>
      </c>
      <c r="Q49" s="2">
        <v>9.73718391584051</v>
      </c>
      <c r="R49" s="2">
        <v>9506.7615482148</v>
      </c>
      <c r="S49" s="2">
        <v>0.114934940997415</v>
      </c>
    </row>
    <row r="50" ht="22.5" customHeight="1">
      <c r="A50" s="2">
        <v>83.6787880603742</v>
      </c>
      <c r="B50" s="2">
        <v>21159.0596622638</v>
      </c>
      <c r="C50" s="2">
        <v>21.1590596622638</v>
      </c>
      <c r="D50" s="2">
        <v>6399159.05966226</v>
      </c>
      <c r="E50" s="2">
        <v>0.00159378897761491</v>
      </c>
      <c r="F50" s="2">
        <v>0.0913173818518049</v>
      </c>
      <c r="G50" s="2">
        <v>752.060862463368</v>
      </c>
      <c r="H50" s="2">
        <v>0.943205442860276</v>
      </c>
      <c r="I50" s="2">
        <v>54.0416910896615</v>
      </c>
      <c r="J50" s="2">
        <v>320108.839121662</v>
      </c>
      <c r="K50" s="2">
        <v>-0.00749999943884549</v>
      </c>
      <c r="L50" s="2">
        <v>303.999988849177</v>
      </c>
      <c r="M50" s="2">
        <v>2735.9998996426</v>
      </c>
      <c r="N50" s="2">
        <v>8034605.73042047</v>
      </c>
      <c r="O50" s="2">
        <v>8.03460573042047</v>
      </c>
      <c r="P50" s="2">
        <v>33663.0441051262</v>
      </c>
      <c r="Q50" s="2">
        <v>9.73400318066666</v>
      </c>
      <c r="R50" s="2">
        <v>8406.72546233209</v>
      </c>
      <c r="S50" s="2">
        <v>0.101635713706951</v>
      </c>
    </row>
    <row r="51" ht="22.5" customHeight="1">
      <c r="A51" s="2">
        <v>85.4220961449653</v>
      </c>
      <c r="B51" s="2">
        <v>22236.3511515025</v>
      </c>
      <c r="C51" s="2">
        <v>22.2363511515024</v>
      </c>
      <c r="D51" s="2">
        <v>6400236.3511515</v>
      </c>
      <c r="E51" s="2">
        <v>0.0017176030073342</v>
      </c>
      <c r="F51" s="2">
        <v>0.0984114031992279</v>
      </c>
      <c r="G51" s="2">
        <v>782.317090179332</v>
      </c>
      <c r="H51" s="2">
        <v>0.930130633225018</v>
      </c>
      <c r="I51" s="2">
        <v>53.2925596796243</v>
      </c>
      <c r="J51" s="2">
        <v>315339.148381758</v>
      </c>
      <c r="K51" s="2">
        <v>-0.0074999994148535</v>
      </c>
      <c r="L51" s="2">
        <v>303.999988264964</v>
      </c>
      <c r="M51" s="2">
        <v>2735.99989438467</v>
      </c>
      <c r="N51" s="2">
        <v>8041396.56955341</v>
      </c>
      <c r="O51" s="2">
        <v>8.04139656955341</v>
      </c>
      <c r="P51" s="2">
        <v>32090.0568204644</v>
      </c>
      <c r="Q51" s="2">
        <v>9.73072659034328</v>
      </c>
      <c r="R51" s="2">
        <v>7406.01020607847</v>
      </c>
      <c r="S51" s="2">
        <v>0.08953725637746</v>
      </c>
    </row>
    <row r="52" ht="22.5" customHeight="1">
      <c r="A52" s="2">
        <v>87.1654042295565</v>
      </c>
      <c r="B52" s="2">
        <v>23345.8585744858</v>
      </c>
      <c r="C52" s="2">
        <v>23.3458585744858</v>
      </c>
      <c r="D52" s="2">
        <v>6401345.85857448</v>
      </c>
      <c r="E52" s="2">
        <v>0.0018486243106148</v>
      </c>
      <c r="F52" s="2">
        <v>0.105918370903509</v>
      </c>
      <c r="G52" s="2">
        <v>813.424994025448</v>
      </c>
      <c r="H52" s="2">
        <v>0.917055823633249</v>
      </c>
      <c r="I52" s="2">
        <v>52.5434282720787</v>
      </c>
      <c r="J52" s="2">
        <v>310569.457651423</v>
      </c>
      <c r="K52" s="2">
        <v>-0.00749999938895446</v>
      </c>
      <c r="L52" s="2">
        <v>303.999987629214</v>
      </c>
      <c r="M52" s="2">
        <v>2735.99988866293</v>
      </c>
      <c r="N52" s="2">
        <v>8047546.52977845</v>
      </c>
      <c r="O52" s="2">
        <v>8.04754652977845</v>
      </c>
      <c r="P52" s="2">
        <v>30447.4757755246</v>
      </c>
      <c r="Q52" s="2">
        <v>9.72735374407284</v>
      </c>
      <c r="R52" s="2">
        <v>6499.73609635137</v>
      </c>
      <c r="S52" s="2">
        <v>0.0785805745672877</v>
      </c>
    </row>
    <row r="53" ht="22.5" customHeight="1">
      <c r="A53" s="2">
        <v>88.9087123141476</v>
      </c>
      <c r="B53" s="2">
        <v>24487.7361398243</v>
      </c>
      <c r="C53" s="2">
        <v>24.4877361398243</v>
      </c>
      <c r="D53" s="2">
        <v>6402487.73613982</v>
      </c>
      <c r="E53" s="2">
        <v>0.0019871456260934</v>
      </c>
      <c r="F53" s="2">
        <v>0.113855057653033</v>
      </c>
      <c r="G53" s="2">
        <v>845.405858202172</v>
      </c>
      <c r="H53" s="2">
        <v>0.903981014088472</v>
      </c>
      <c r="I53" s="2">
        <v>51.7942968672256</v>
      </c>
      <c r="J53" s="2">
        <v>305799.766931531</v>
      </c>
      <c r="K53" s="2">
        <v>-0.00749999936094036</v>
      </c>
      <c r="L53" s="2">
        <v>303.999986933913</v>
      </c>
      <c r="M53" s="2">
        <v>2735.99988240522</v>
      </c>
      <c r="N53" s="2">
        <v>8053091.05176145</v>
      </c>
      <c r="O53" s="2">
        <v>8.05309105176145</v>
      </c>
      <c r="P53" s="2">
        <v>28754.3985851405</v>
      </c>
      <c r="Q53" s="2">
        <v>9.72388432500734</v>
      </c>
      <c r="R53" s="2">
        <v>5682.68048857212</v>
      </c>
      <c r="S53" s="2">
        <v>0.0687025274956906</v>
      </c>
    </row>
    <row r="54" ht="22.5" customHeight="1">
      <c r="A54" s="2">
        <v>90.6520203987387</v>
      </c>
      <c r="B54" s="2">
        <v>25662.1113966639</v>
      </c>
      <c r="C54" s="2">
        <v>25.6621113966639</v>
      </c>
      <c r="D54" s="2">
        <v>6403662.11139666</v>
      </c>
      <c r="E54" s="2">
        <v>0.00213346735340128</v>
      </c>
      <c r="F54" s="2">
        <v>0.122238675078839</v>
      </c>
      <c r="G54" s="2">
        <v>878.281930539545</v>
      </c>
      <c r="H54" s="2">
        <v>0.890906204594584</v>
      </c>
      <c r="I54" s="2">
        <v>51.0451654652883</v>
      </c>
      <c r="J54" s="2">
        <v>301030.076223091</v>
      </c>
      <c r="K54" s="2">
        <v>-0.00749999933057324</v>
      </c>
      <c r="L54" s="2">
        <v>303.999986169387</v>
      </c>
      <c r="M54" s="2">
        <v>2735.99987552448</v>
      </c>
      <c r="N54" s="2">
        <v>8058067.24580471</v>
      </c>
      <c r="O54" s="2">
        <v>8.05806724580471</v>
      </c>
      <c r="P54" s="2">
        <v>27029.5473689169</v>
      </c>
      <c r="Q54" s="2">
        <v>9.7203181024815</v>
      </c>
      <c r="R54" s="2">
        <v>4949.37469072613</v>
      </c>
      <c r="S54" s="2">
        <v>0.0598369997151691</v>
      </c>
    </row>
    <row r="55" ht="22.5" customHeight="1">
      <c r="A55" s="2">
        <v>92.3953284833298</v>
      </c>
      <c r="B55" s="2">
        <v>26869.0844573908</v>
      </c>
      <c r="C55" s="2">
        <v>26.8690844573908</v>
      </c>
      <c r="D55" s="2">
        <v>6404869.08445739</v>
      </c>
      <c r="E55" s="2">
        <v>0.00228789774695378</v>
      </c>
      <c r="F55" s="2">
        <v>0.131086884857941</v>
      </c>
      <c r="G55" s="2">
        <v>912.076496363348</v>
      </c>
      <c r="H55" s="2">
        <v>0.877831395155924</v>
      </c>
      <c r="I55" s="2">
        <v>50.2960340665153</v>
      </c>
      <c r="J55" s="2">
        <v>296260.385527281</v>
      </c>
      <c r="K55" s="2">
        <v>-0.0074999992975796</v>
      </c>
      <c r="L55" s="2">
        <v>303.999985323846</v>
      </c>
      <c r="M55" s="2">
        <v>2735.99986791461</v>
      </c>
      <c r="N55" s="2">
        <v>8062513.26525494</v>
      </c>
      <c r="O55" s="2">
        <v>8.06251326525495</v>
      </c>
      <c r="P55" s="2">
        <v>25290.939707897</v>
      </c>
      <c r="Q55" s="2">
        <v>9.71665493419619</v>
      </c>
      <c r="R55" s="2">
        <v>4294.19629767487</v>
      </c>
      <c r="S55" s="2">
        <v>0.0519160174157584</v>
      </c>
    </row>
    <row r="56" ht="22.5" customHeight="1">
      <c r="A56" s="2">
        <v>94.138636567921</v>
      </c>
      <c r="B56" s="2">
        <v>28108.7272256164</v>
      </c>
      <c r="C56" s="2">
        <v>28.1087272256164</v>
      </c>
      <c r="D56" s="2">
        <v>6406108.72722561</v>
      </c>
      <c r="E56" s="2">
        <v>0.00245075312663014</v>
      </c>
      <c r="F56" s="2">
        <v>0.140417810784397</v>
      </c>
      <c r="G56" s="2">
        <v>946.813956667283</v>
      </c>
      <c r="H56" s="2">
        <v>0.864756585777347</v>
      </c>
      <c r="I56" s="2">
        <v>49.5469026711847</v>
      </c>
      <c r="J56" s="2">
        <v>291490.694845488</v>
      </c>
      <c r="K56" s="2">
        <v>-0.0074999992616438</v>
      </c>
      <c r="L56" s="2">
        <v>303.999984382765</v>
      </c>
      <c r="M56" s="2">
        <v>2735.99985944488</v>
      </c>
      <c r="N56" s="2">
        <v>8066467.72156655</v>
      </c>
      <c r="O56" s="2">
        <v>8.06646772156655</v>
      </c>
      <c r="P56" s="2">
        <v>23555.5956660812</v>
      </c>
      <c r="Q56" s="2">
        <v>9.71289476835917</v>
      </c>
      <c r="R56" s="2">
        <v>3711.45538645061</v>
      </c>
      <c r="S56" s="2">
        <v>0.0448707905097656</v>
      </c>
    </row>
    <row r="57" ht="22.5" customHeight="1">
      <c r="A57" s="2">
        <v>95.8819446525121</v>
      </c>
      <c r="B57" s="2">
        <v>29381.0826267694</v>
      </c>
      <c r="C57" s="2">
        <v>29.3810826267694</v>
      </c>
      <c r="D57" s="2">
        <v>6407381.08262676</v>
      </c>
      <c r="E57" s="2">
        <v>0.00262235810679981</v>
      </c>
      <c r="F57" s="2">
        <v>0.150250051891546</v>
      </c>
      <c r="G57" s="2">
        <v>982.51991105801</v>
      </c>
      <c r="H57" s="2">
        <v>0.851681776464301</v>
      </c>
      <c r="I57" s="2">
        <v>48.7977712796088</v>
      </c>
      <c r="J57" s="2">
        <v>286721.004179351</v>
      </c>
      <c r="K57" s="2">
        <v>-0.00749999922239971</v>
      </c>
      <c r="L57" s="2">
        <v>303.999983328036</v>
      </c>
      <c r="M57" s="2">
        <v>2735.99984995232</v>
      </c>
      <c r="N57" s="2">
        <v>8069969.14961372</v>
      </c>
      <c r="O57" s="2">
        <v>8.06996914961372</v>
      </c>
      <c r="P57" s="2">
        <v>21839.2871584938</v>
      </c>
      <c r="Q57" s="2">
        <v>9.70903764579054</v>
      </c>
      <c r="R57" s="2">
        <v>3195.47330591315</v>
      </c>
      <c r="S57" s="2">
        <v>0.0386326651837513</v>
      </c>
    </row>
    <row r="58" ht="22.5" customHeight="1">
      <c r="A58" s="2">
        <v>97.6252527371032</v>
      </c>
      <c r="B58" s="2">
        <v>30686.163838548</v>
      </c>
      <c r="C58" s="2">
        <v>30.686163838548</v>
      </c>
      <c r="D58" s="2">
        <v>6408686.16383854</v>
      </c>
      <c r="E58" s="2">
        <v>0.0028030458452648</v>
      </c>
      <c r="F58" s="2">
        <v>0.160602696715353</v>
      </c>
      <c r="G58" s="2">
        <v>1019.22124600798</v>
      </c>
      <c r="H58" s="2">
        <v>0.838606967222924</v>
      </c>
      <c r="I58" s="2">
        <v>48.0486398921393</v>
      </c>
      <c r="J58" s="2">
        <v>281951.313530834</v>
      </c>
      <c r="K58" s="2">
        <v>-0.00749999917942048</v>
      </c>
      <c r="L58" s="2">
        <v>303.999982136774</v>
      </c>
      <c r="M58" s="2">
        <v>2735.99983923096</v>
      </c>
      <c r="N58" s="2">
        <v>8073055.52975608</v>
      </c>
      <c r="O58" s="2">
        <v>8.07305552975608</v>
      </c>
      <c r="P58" s="2">
        <v>20156.3341170651</v>
      </c>
      <c r="Q58" s="2">
        <v>9.70508370200042</v>
      </c>
      <c r="R58" s="2">
        <v>2740.65310183818</v>
      </c>
      <c r="S58" s="2">
        <v>0.0331339753244685</v>
      </c>
    </row>
    <row r="59" ht="22.5" customHeight="1">
      <c r="A59" s="2">
        <v>99.3685608216944</v>
      </c>
      <c r="B59" s="2">
        <v>32023.9535184254</v>
      </c>
      <c r="C59" s="2">
        <v>32.0239535184254</v>
      </c>
      <c r="D59" s="2">
        <v>6410023.95351842</v>
      </c>
      <c r="E59" s="2">
        <v>0.00299315831381967</v>
      </c>
      <c r="F59" s="2">
        <v>0.171495338796361</v>
      </c>
      <c r="G59" s="2">
        <v>1056.94622902696</v>
      </c>
      <c r="H59" s="2">
        <v>0.825532158060166</v>
      </c>
      <c r="I59" s="2">
        <v>47.2995085091743</v>
      </c>
      <c r="J59" s="2">
        <v>277181.622902308</v>
      </c>
      <c r="K59" s="2">
        <v>-0.00749999913220569</v>
      </c>
      <c r="L59" s="2">
        <v>303.99998077962</v>
      </c>
      <c r="M59" s="2">
        <v>2735.99982701658</v>
      </c>
      <c r="N59" s="2">
        <v>8075763.87105604</v>
      </c>
      <c r="O59" s="2">
        <v>8.07576387105604</v>
      </c>
      <c r="P59" s="2">
        <v>18519.4500132983</v>
      </c>
      <c r="Q59" s="2">
        <v>9.7010331692469</v>
      </c>
      <c r="R59" s="2">
        <v>2341.54092867426</v>
      </c>
      <c r="S59" s="2">
        <v>0.0283087849753364</v>
      </c>
    </row>
    <row r="60" ht="22.5" customHeight="1">
      <c r="A60" s="2">
        <v>101.111868906285</v>
      </c>
      <c r="B60" s="2">
        <v>33394.4030253594</v>
      </c>
      <c r="C60" s="2">
        <v>33.3944030253594</v>
      </c>
      <c r="D60" s="2">
        <v>6411394.40302536</v>
      </c>
      <c r="E60" s="2">
        <v>0.00319304659228334</v>
      </c>
      <c r="F60" s="2">
        <v>0.182948093526465</v>
      </c>
      <c r="G60" s="2">
        <v>1095.72460944824</v>
      </c>
      <c r="H60" s="2">
        <v>0.812457348983924</v>
      </c>
      <c r="I60" s="2">
        <v>46.5503771311663</v>
      </c>
      <c r="J60" s="2">
        <v>272411.932296678</v>
      </c>
      <c r="K60" s="2">
        <v>-0.00749999908016522</v>
      </c>
      <c r="L60" s="2">
        <v>303.999979218259</v>
      </c>
      <c r="M60" s="2">
        <v>2735.99981296433</v>
      </c>
      <c r="N60" s="2">
        <v>8078129.85800067</v>
      </c>
      <c r="O60" s="2">
        <v>8.07812985800067</v>
      </c>
      <c r="P60" s="2">
        <v>16939.6374323281</v>
      </c>
      <c r="Q60" s="2">
        <v>9.69688637858195</v>
      </c>
      <c r="R60" s="2">
        <v>1992.87810025401</v>
      </c>
      <c r="S60" s="2">
        <v>0.0240935176196513</v>
      </c>
    </row>
    <row r="61" ht="22.5" customHeight="1">
      <c r="A61" s="2">
        <v>102.855176990876</v>
      </c>
      <c r="B61" s="2">
        <v>34797.4316328244</v>
      </c>
      <c r="C61" s="2">
        <v>34.7974316328244</v>
      </c>
      <c r="D61" s="2">
        <v>6412797.43163282</v>
      </c>
      <c r="E61" s="2">
        <v>0.00340307118803299</v>
      </c>
      <c r="F61" s="2">
        <v>0.194981616456861</v>
      </c>
      <c r="G61" s="2">
        <v>1135.58772662195</v>
      </c>
      <c r="H61" s="2">
        <v>0.799382540003221</v>
      </c>
      <c r="I61" s="2">
        <v>45.8012457586322</v>
      </c>
      <c r="J61" s="2">
        <v>267642.241717548</v>
      </c>
      <c r="K61" s="2">
        <v>-0.00749999902259858</v>
      </c>
      <c r="L61" s="2">
        <v>303.999977401704</v>
      </c>
      <c r="M61" s="2">
        <v>2735.99979661534</v>
      </c>
      <c r="N61" s="2">
        <v>8080187.56116432</v>
      </c>
      <c r="O61" s="2">
        <v>8.08018756116432</v>
      </c>
      <c r="P61" s="2">
        <v>15426.1326389149</v>
      </c>
      <c r="Q61" s="2">
        <v>9.69264376189351</v>
      </c>
      <c r="R61" s="2">
        <v>1689.64371350794</v>
      </c>
      <c r="S61" s="2">
        <v>0.0204274714931875</v>
      </c>
    </row>
    <row r="62" ht="22.5" customHeight="1">
      <c r="A62" s="2">
        <v>104.598485075467</v>
      </c>
      <c r="B62" s="2">
        <v>36232.9257302638</v>
      </c>
      <c r="C62" s="2">
        <v>36.2329257302638</v>
      </c>
      <c r="D62" s="2">
        <v>6414232.92573026</v>
      </c>
      <c r="E62" s="2">
        <v>0.00362360238327324</v>
      </c>
      <c r="F62" s="2">
        <v>0.207617123195103</v>
      </c>
      <c r="G62" s="2">
        <v>1176.56862641643</v>
      </c>
      <c r="H62" s="2">
        <v>0.786307731128421</v>
      </c>
      <c r="I62" s="2">
        <v>45.052114392166</v>
      </c>
      <c r="J62" s="2">
        <v>262872.551169465</v>
      </c>
      <c r="K62" s="2">
        <v>-0.00749999895866857</v>
      </c>
      <c r="L62" s="2">
        <v>303.999975260554</v>
      </c>
      <c r="M62" s="2">
        <v>2735.99977734498</v>
      </c>
      <c r="N62" s="2">
        <v>8081969.21051555</v>
      </c>
      <c r="O62" s="2">
        <v>8.08196921051555</v>
      </c>
      <c r="P62" s="2">
        <v>13986.396502913</v>
      </c>
      <c r="Q62" s="2">
        <v>9.6883058539518</v>
      </c>
      <c r="R62" s="2">
        <v>1427.08803332181</v>
      </c>
      <c r="S62" s="2">
        <v>0.0172532232007819</v>
      </c>
    </row>
    <row r="63" ht="22.5" customHeight="1">
      <c r="A63" s="2">
        <v>106.341793160058</v>
      </c>
      <c r="B63" s="2">
        <v>37700.738010051</v>
      </c>
      <c r="C63" s="2">
        <v>37.700738010051</v>
      </c>
      <c r="D63" s="2">
        <v>6415700.73801005</v>
      </c>
      <c r="E63" s="2">
        <v>0.00385502061250815</v>
      </c>
      <c r="F63" s="2">
        <v>0.220876411032654</v>
      </c>
      <c r="G63" s="2">
        <v>1218.7021870529</v>
      </c>
      <c r="H63" s="2">
        <v>0.773232922371496</v>
      </c>
      <c r="I63" s="2">
        <v>44.3029830324535</v>
      </c>
      <c r="J63" s="2">
        <v>258102.860658283</v>
      </c>
      <c r="K63" s="2">
        <v>-0.00749999888736693</v>
      </c>
      <c r="L63" s="2">
        <v>303.999972697825</v>
      </c>
      <c r="M63" s="2">
        <v>2735.99975428043</v>
      </c>
      <c r="N63" s="2">
        <v>8083505.02856334</v>
      </c>
      <c r="O63" s="2">
        <v>8.08350502856334</v>
      </c>
      <c r="P63" s="2">
        <v>12626.1478158206</v>
      </c>
      <c r="Q63" s="2">
        <v>9.68387329446812</v>
      </c>
      <c r="R63" s="2">
        <v>1200.75704673328</v>
      </c>
      <c r="S63" s="2">
        <v>0.0145169245719049</v>
      </c>
    </row>
    <row r="64" ht="22.5" customHeight="1">
      <c r="A64" s="2">
        <v>108.08510124465</v>
      </c>
      <c r="B64" s="2">
        <v>39200.6866370429</v>
      </c>
      <c r="C64" s="2">
        <v>39.2006866370429</v>
      </c>
      <c r="D64" s="2">
        <v>6417200.68663704</v>
      </c>
      <c r="E64" s="2">
        <v>0.00409771687295239</v>
      </c>
      <c r="F64" s="2">
        <v>0.234781882459717</v>
      </c>
      <c r="G64" s="2">
        <v>1262.02525543929</v>
      </c>
      <c r="H64" s="2">
        <v>0.760158113746364</v>
      </c>
      <c r="I64" s="2">
        <v>43.5538516802922</v>
      </c>
      <c r="J64" s="2">
        <v>253333.170191715</v>
      </c>
      <c r="K64" s="2">
        <v>-0.00749999880746937</v>
      </c>
      <c r="L64" s="2">
        <v>303.999969573692</v>
      </c>
      <c r="M64" s="2">
        <v>2735.99972616323</v>
      </c>
      <c r="N64" s="2">
        <v>8084823.11927233</v>
      </c>
      <c r="O64" s="2">
        <v>8.08482311927233</v>
      </c>
      <c r="P64" s="2">
        <v>11349.4339704442</v>
      </c>
      <c r="Q64" s="2">
        <v>9.67934683017415</v>
      </c>
      <c r="R64" s="2">
        <v>1006.50877642208</v>
      </c>
      <c r="S64" s="2">
        <v>0.012168499887659</v>
      </c>
    </row>
    <row r="65" ht="22.5" customHeight="1">
      <c r="A65" s="2">
        <v>109.828409329241</v>
      </c>
      <c r="B65" s="2">
        <v>40732.5543978099</v>
      </c>
      <c r="C65" s="2">
        <v>40.7325543978099</v>
      </c>
      <c r="D65" s="2">
        <v>6418732.55439781</v>
      </c>
      <c r="E65" s="2">
        <v>0.00435209317092818</v>
      </c>
      <c r="F65" s="2">
        <v>0.249356570741892</v>
      </c>
      <c r="G65" s="2">
        <v>1306.57679533005</v>
      </c>
      <c r="H65" s="2">
        <v>0.747083305269318</v>
      </c>
      <c r="I65" s="2">
        <v>42.8047203366156</v>
      </c>
      <c r="J65" s="2">
        <v>248563.479780209</v>
      </c>
      <c r="K65" s="2">
        <v>-0.00749999871747577</v>
      </c>
      <c r="L65" s="2">
        <v>303.999965678812</v>
      </c>
      <c r="M65" s="2">
        <v>2735.99969110931</v>
      </c>
      <c r="N65" s="2">
        <v>8085949.40765239</v>
      </c>
      <c r="O65" s="2">
        <v>8.08594940765239</v>
      </c>
      <c r="P65" s="2">
        <v>10158.7332142663</v>
      </c>
      <c r="Q65" s="2">
        <v>9.67472731693013</v>
      </c>
      <c r="R65" s="2">
        <v>840.522084743733</v>
      </c>
      <c r="S65" s="2">
        <v>0.0101617523198724</v>
      </c>
    </row>
    <row r="66" ht="22.5" customHeight="1">
      <c r="A66" s="2">
        <v>111.571717413832</v>
      </c>
      <c r="B66" s="2">
        <v>42296.0878266312</v>
      </c>
      <c r="C66" s="2">
        <v>42.2960878266312</v>
      </c>
      <c r="D66" s="2">
        <v>6420296.08782663</v>
      </c>
      <c r="E66" s="2">
        <v>0.00461856300765035</v>
      </c>
      <c r="F66" s="2">
        <v>0.264624167753612</v>
      </c>
      <c r="G66" s="2">
        <v>1352.39804882221</v>
      </c>
      <c r="H66" s="2">
        <v>0.734008496959577</v>
      </c>
      <c r="I66" s="2">
        <v>42.0555890025249</v>
      </c>
      <c r="J66" s="2">
        <v>243793.789438435</v>
      </c>
      <c r="K66" s="2">
        <v>-0.0074999986155296</v>
      </c>
      <c r="L66" s="2">
        <v>303.999960684856</v>
      </c>
      <c r="M66" s="2">
        <v>2735.99964616371</v>
      </c>
      <c r="N66" s="2">
        <v>8086907.6240925</v>
      </c>
      <c r="O66" s="2">
        <v>8.0869076240925</v>
      </c>
      <c r="P66" s="2">
        <v>9055.08222847245</v>
      </c>
      <c r="Q66" s="2">
        <v>9.67001572186988</v>
      </c>
      <c r="R66" s="2">
        <v>699.298800171346</v>
      </c>
      <c r="S66" s="2">
        <v>0.00845438963937725</v>
      </c>
    </row>
    <row r="67" ht="22.5" customHeight="1">
      <c r="A67" s="2">
        <v>113.315025498423</v>
      </c>
      <c r="B67" s="2">
        <v>43890.9963053389</v>
      </c>
      <c r="C67" s="2">
        <v>43.8909963053389</v>
      </c>
      <c r="D67" s="2">
        <v>6421890.99630533</v>
      </c>
      <c r="E67" s="2">
        <v>0.00489755190821149</v>
      </c>
      <c r="F67" s="2">
        <v>0.280609054286761</v>
      </c>
      <c r="G67" s="2">
        <v>1399.53271290669</v>
      </c>
      <c r="H67" s="2">
        <v>0.720933688840003</v>
      </c>
      <c r="I67" s="2">
        <v>41.3064576793299</v>
      </c>
      <c r="J67" s="2">
        <v>239024.099187922</v>
      </c>
      <c r="K67" s="2">
        <v>-0.00749999849930786</v>
      </c>
      <c r="L67" s="2">
        <v>303.999954045652</v>
      </c>
      <c r="M67" s="2">
        <v>2735.99958641086</v>
      </c>
      <c r="N67" s="2">
        <v>8087719.32671305</v>
      </c>
      <c r="O67" s="2">
        <v>8.08771932671305</v>
      </c>
      <c r="P67" s="2">
        <v>8038.22261774096</v>
      </c>
      <c r="Q67" s="2">
        <v>9.66521312559108</v>
      </c>
      <c r="R67" s="2">
        <v>579.660059462403</v>
      </c>
      <c r="S67" s="2">
        <v>0.00700797999350055</v>
      </c>
    </row>
    <row r="68" ht="22.5" customHeight="1">
      <c r="A68" s="2">
        <v>115.058333583014</v>
      </c>
      <c r="B68" s="2">
        <v>45516.9511340891</v>
      </c>
      <c r="C68" s="2">
        <v>45.5169511340891</v>
      </c>
      <c r="D68" s="2">
        <v>6423516.95113408</v>
      </c>
      <c r="E68" s="2">
        <v>0.00518949799804809</v>
      </c>
      <c r="F68" s="2">
        <v>0.297336333079745</v>
      </c>
      <c r="G68" s="2">
        <v>1448.02713302885</v>
      </c>
      <c r="H68" s="2">
        <v>0.707858880938047</v>
      </c>
      <c r="I68" s="2">
        <v>40.5573263686035</v>
      </c>
      <c r="J68" s="2">
        <v>234254.409062183</v>
      </c>
      <c r="K68" s="2">
        <v>-0.00749999836586785</v>
      </c>
      <c r="L68" s="2">
        <v>303.999944779687</v>
      </c>
      <c r="M68" s="2">
        <v>2735.99950301718</v>
      </c>
      <c r="N68" s="2">
        <v>8088403.95377272</v>
      </c>
      <c r="O68" s="2">
        <v>8.08840395377272</v>
      </c>
      <c r="P68" s="2">
        <v>7106.75999635753</v>
      </c>
      <c r="Q68" s="2">
        <v>9.66032072439889</v>
      </c>
      <c r="R68" s="2">
        <v>478.737784113171</v>
      </c>
      <c r="S68" s="2">
        <v>0.00578784885801761</v>
      </c>
    </row>
    <row r="69" ht="22.5" customHeight="1">
      <c r="A69" s="2">
        <v>116.801641667605</v>
      </c>
      <c r="B69" s="2">
        <v>47173.5845700934</v>
      </c>
      <c r="C69" s="2">
        <v>47.1735845700934</v>
      </c>
      <c r="D69" s="2">
        <v>6425173.58457009</v>
      </c>
      <c r="E69" s="2">
        <v>0.00549485263170591</v>
      </c>
      <c r="F69" s="2">
        <v>0.314831864843102</v>
      </c>
      <c r="G69" s="2">
        <v>1497.93051586637</v>
      </c>
      <c r="H69" s="2">
        <v>0.69478407328702</v>
      </c>
      <c r="I69" s="2">
        <v>39.8081950722543</v>
      </c>
      <c r="J69" s="2">
        <v>229484.719117822</v>
      </c>
      <c r="K69" s="2">
        <v>-0.00749999821143019</v>
      </c>
      <c r="L69" s="2">
        <v>303.999930925106</v>
      </c>
      <c r="M69" s="2">
        <v>2735.99937832595</v>
      </c>
      <c r="N69" s="2">
        <v>8088978.8947248</v>
      </c>
      <c r="O69" s="2">
        <v>8.0889788947248</v>
      </c>
      <c r="P69" s="2">
        <v>6258.32968886819</v>
      </c>
      <c r="Q69" s="2">
        <v>9.6553398326113</v>
      </c>
      <c r="R69" s="2">
        <v>393.962202778533</v>
      </c>
      <c r="S69" s="2">
        <v>0.00476292818557813</v>
      </c>
    </row>
    <row r="70" ht="22.5" customHeight="1">
      <c r="A70" s="2">
        <v>118.544949752196</v>
      </c>
      <c r="B70" s="2">
        <v>48860.4888312409</v>
      </c>
      <c r="C70" s="2">
        <v>48.8604888312409</v>
      </c>
      <c r="D70" s="2">
        <v>6426860.48883124</v>
      </c>
      <c r="E70" s="2">
        <v>0.00581408107932913</v>
      </c>
      <c r="F70" s="2">
        <v>0.333122307592425</v>
      </c>
      <c r="G70" s="2">
        <v>1549.29516375791</v>
      </c>
      <c r="H70" s="2">
        <v>0.681709265927826</v>
      </c>
      <c r="I70" s="2">
        <v>39.0590637926259</v>
      </c>
      <c r="J70" s="2">
        <v>224715.029462846</v>
      </c>
      <c r="K70" s="2">
        <v>-0.00749999803106477</v>
      </c>
      <c r="L70" s="2">
        <v>303.999907891352</v>
      </c>
      <c r="M70" s="2">
        <v>2735.99917102217</v>
      </c>
      <c r="N70" s="2">
        <v>8089459.554585</v>
      </c>
      <c r="O70" s="2">
        <v>8.089459554585</v>
      </c>
      <c r="P70" s="2">
        <v>5489.76358562768</v>
      </c>
      <c r="Q70" s="2">
        <v>9.65027188493495</v>
      </c>
      <c r="R70" s="2">
        <v>323.046297162981</v>
      </c>
      <c r="S70" s="2">
        <v>0.00390556835948337</v>
      </c>
    </row>
    <row r="71" ht="22.5" customHeight="1">
      <c r="A71" s="2">
        <v>120.288257836787</v>
      </c>
      <c r="B71" s="2">
        <v>50577.2150611439</v>
      </c>
      <c r="C71" s="2">
        <v>50.5772150611439</v>
      </c>
      <c r="D71" s="2">
        <v>6428577.21506114</v>
      </c>
      <c r="E71" s="2">
        <v>0.00614766327694467</v>
      </c>
      <c r="F71" s="2">
        <v>0.352235159636495</v>
      </c>
      <c r="G71" s="2">
        <v>1602.17673309862</v>
      </c>
      <c r="H71" s="2">
        <v>0.668634458911369</v>
      </c>
      <c r="I71" s="2">
        <v>38.3099325326349</v>
      </c>
      <c r="J71" s="2">
        <v>219945.340350942</v>
      </c>
      <c r="K71" s="2">
        <v>-0.00749999781822497</v>
      </c>
      <c r="L71" s="2">
        <v>303.999861698823</v>
      </c>
      <c r="M71" s="2">
        <v>2735.99875528941</v>
      </c>
      <c r="N71" s="2">
        <v>8089859.30588487</v>
      </c>
      <c r="O71" s="2">
        <v>8.08985930588487</v>
      </c>
      <c r="P71" s="2">
        <v>4797.25335732117</v>
      </c>
      <c r="Q71" s="2">
        <v>9.64511843892129</v>
      </c>
      <c r="R71" s="2">
        <v>263.967992711709</v>
      </c>
      <c r="S71" s="2">
        <v>0.00319132288252498</v>
      </c>
    </row>
    <row r="72" ht="22.5" customHeight="1">
      <c r="A72" s="2">
        <v>122.031565921379</v>
      </c>
      <c r="B72" s="2">
        <v>52323.272249737</v>
      </c>
      <c r="C72" s="2">
        <v>52.323272249737</v>
      </c>
      <c r="D72" s="2">
        <v>6430323.27224973</v>
      </c>
      <c r="E72" s="2">
        <v>0.00649609464695575</v>
      </c>
      <c r="F72" s="2">
        <v>0.372198806588091</v>
      </c>
      <c r="G72" s="2">
        <v>1656.63451503877</v>
      </c>
      <c r="H72" s="2">
        <v>0.655559652302038</v>
      </c>
      <c r="I72" s="2">
        <v>37.5608012959705</v>
      </c>
      <c r="J72" s="2">
        <v>215175.652724537</v>
      </c>
      <c r="K72" s="2">
        <v>-0.00749999756399241</v>
      </c>
      <c r="L72" s="2">
        <v>303.999718532459</v>
      </c>
      <c r="M72" s="2">
        <v>2735.99746679213</v>
      </c>
      <c r="N72" s="2">
        <v>8090188.35939654</v>
      </c>
      <c r="O72" s="2">
        <v>8.09018835939654</v>
      </c>
      <c r="P72" s="2">
        <v>4176.50597610503</v>
      </c>
      <c r="Q72" s="2">
        <v>9.63988117752018</v>
      </c>
      <c r="R72" s="2">
        <v>214.950842680854</v>
      </c>
      <c r="S72" s="2">
        <v>0.00259871485106387</v>
      </c>
    </row>
    <row r="73" ht="22.5" customHeight="1">
      <c r="A73" s="2">
        <v>123.77487400597</v>
      </c>
      <c r="B73" s="2">
        <v>54093.7286737839</v>
      </c>
      <c r="C73" s="2">
        <v>54.0937286737839</v>
      </c>
      <c r="D73" s="2">
        <v>6432093.72867378</v>
      </c>
      <c r="E73" s="2">
        <v>0.0068589796730068</v>
      </c>
      <c r="F73" s="2">
        <v>0.392990587029311</v>
      </c>
      <c r="G73" s="2">
        <v>1700.09822972458</v>
      </c>
      <c r="H73" s="2">
        <v>0.642484846183757</v>
      </c>
      <c r="I73" s="2">
        <v>36.8116700874411</v>
      </c>
      <c r="J73" s="2">
        <v>211365.25332873</v>
      </c>
      <c r="K73" s="2">
        <v>-0.00749999725486903</v>
      </c>
      <c r="L73" s="2">
        <v>181.717882833109</v>
      </c>
      <c r="M73" s="2">
        <v>1635.46094549798</v>
      </c>
      <c r="N73" s="2">
        <v>5035373.24402243</v>
      </c>
      <c r="O73" s="2">
        <v>5.03537324402243</v>
      </c>
      <c r="P73" s="2">
        <v>3571.48612449859</v>
      </c>
      <c r="Q73" s="2">
        <v>9.63457508547514</v>
      </c>
      <c r="R73" s="2">
        <v>174.534140876531</v>
      </c>
      <c r="S73" s="2">
        <v>0.0021100846047249</v>
      </c>
    </row>
    <row r="74" ht="22.5" customHeight="1">
      <c r="A74" s="2">
        <v>125.518182090561</v>
      </c>
      <c r="B74" s="2">
        <v>55870.1130938232</v>
      </c>
      <c r="C74" s="2">
        <v>55.8701130938232</v>
      </c>
      <c r="D74" s="2">
        <v>6433870.11309382</v>
      </c>
      <c r="E74" s="2">
        <v>0.00723303061979921</v>
      </c>
      <c r="F74" s="2">
        <v>0.414422127603389</v>
      </c>
      <c r="G74" s="2">
        <v>1731.10626847939</v>
      </c>
      <c r="H74" s="2">
        <v>0.629410040672118</v>
      </c>
      <c r="I74" s="2">
        <v>36.0625389136698</v>
      </c>
      <c r="J74" s="2">
        <v>208574.684179165</v>
      </c>
      <c r="K74" s="2">
        <v>-0.00749999686802568</v>
      </c>
      <c r="L74" s="2">
        <v>174.000353755886</v>
      </c>
      <c r="M74" s="2">
        <v>1566.00318380298</v>
      </c>
      <c r="N74" s="2">
        <v>4842781.86583745</v>
      </c>
      <c r="O74" s="2">
        <v>4.84278186583745</v>
      </c>
      <c r="P74" s="2">
        <v>3004.60062721469</v>
      </c>
      <c r="Q74" s="2">
        <v>9.62925562888102</v>
      </c>
      <c r="R74" s="2">
        <v>141.618096023473</v>
      </c>
      <c r="S74" s="2">
        <v>0.00171213587593145</v>
      </c>
    </row>
    <row r="75" ht="22.5" customHeight="1">
      <c r="A75" s="2">
        <v>127.261490175152</v>
      </c>
      <c r="B75" s="2">
        <v>57646.2461429626</v>
      </c>
      <c r="C75" s="2">
        <v>57.6462461429626</v>
      </c>
      <c r="D75" s="2">
        <v>6435646.24614296</v>
      </c>
      <c r="E75" s="2">
        <v>0.00761734110163843</v>
      </c>
      <c r="F75" s="2">
        <v>0.436441496235415</v>
      </c>
      <c r="G75" s="2">
        <v>1762.03785076752</v>
      </c>
      <c r="H75" s="2">
        <v>0.616335235932981</v>
      </c>
      <c r="I75" s="2">
        <v>35.3134077841596</v>
      </c>
      <c r="J75" s="2">
        <v>205844.65975472</v>
      </c>
      <c r="K75" s="2">
        <v>-0.00749999636861865</v>
      </c>
      <c r="L75" s="2">
        <v>174.000151540302</v>
      </c>
      <c r="M75" s="2">
        <v>1566.00136386272</v>
      </c>
      <c r="N75" s="2">
        <v>4842958.0330455</v>
      </c>
      <c r="O75" s="2">
        <v>4.8429580330455</v>
      </c>
      <c r="P75" s="2">
        <v>2525.92798415779</v>
      </c>
      <c r="Q75" s="2">
        <v>9.62394132835698</v>
      </c>
      <c r="R75" s="2">
        <v>114.913209169726</v>
      </c>
      <c r="S75" s="2">
        <v>0.00138927886733693</v>
      </c>
    </row>
    <row r="76" ht="22.5" customHeight="1">
      <c r="A76" s="2">
        <v>129.004798259743</v>
      </c>
      <c r="B76" s="2">
        <v>59421.1403304622</v>
      </c>
      <c r="C76" s="2">
        <v>59.4211403304622</v>
      </c>
      <c r="D76" s="2">
        <v>6437421.14033046</v>
      </c>
      <c r="E76" s="2">
        <v>0.00801206946727554</v>
      </c>
      <c r="F76" s="2">
        <v>0.459057765640518</v>
      </c>
      <c r="G76" s="2">
        <v>1793.70258559957</v>
      </c>
      <c r="H76" s="2">
        <v>0.603260432211899</v>
      </c>
      <c r="I76" s="2">
        <v>34.5642767129797</v>
      </c>
      <c r="J76" s="2">
        <v>203114.637351263</v>
      </c>
      <c r="K76" s="2">
        <v>-0.00749999570006648</v>
      </c>
      <c r="L76" s="2">
        <v>174.000096136174</v>
      </c>
      <c r="M76" s="2">
        <v>1566.00086522557</v>
      </c>
      <c r="N76" s="2">
        <v>4843103.60347418</v>
      </c>
      <c r="O76" s="2">
        <v>4.84310360347418</v>
      </c>
      <c r="P76" s="2">
        <v>2124.2511684347</v>
      </c>
      <c r="Q76" s="2">
        <v>9.61863512814369</v>
      </c>
      <c r="R76" s="2">
        <v>93.257646921087</v>
      </c>
      <c r="S76" s="2">
        <v>0.00112746723393369</v>
      </c>
    </row>
    <row r="77" ht="22.5" customHeight="1">
      <c r="A77" s="2">
        <v>130.748106344334</v>
      </c>
      <c r="B77" s="2">
        <v>61194.048375874</v>
      </c>
      <c r="C77" s="2">
        <v>61.194048375874</v>
      </c>
      <c r="D77" s="2">
        <v>6439194.04837587</v>
      </c>
      <c r="E77" s="2">
        <v>0.00841743543949341</v>
      </c>
      <c r="F77" s="2">
        <v>0.48228352500682</v>
      </c>
      <c r="G77" s="2">
        <v>1826.11590201794</v>
      </c>
      <c r="H77" s="2">
        <v>0.5901856298923</v>
      </c>
      <c r="I77" s="2">
        <v>33.8151457220988</v>
      </c>
      <c r="J77" s="2">
        <v>200384.615586865</v>
      </c>
      <c r="K77" s="2">
        <v>-0.00749999476077237</v>
      </c>
      <c r="L77" s="2">
        <v>174.000070078139</v>
      </c>
      <c r="M77" s="2">
        <v>1566.00063070325</v>
      </c>
      <c r="N77" s="2">
        <v>4843222.09324754</v>
      </c>
      <c r="O77" s="2">
        <v>4.84322209324754</v>
      </c>
      <c r="P77" s="2">
        <v>1787.21850664465</v>
      </c>
      <c r="Q77" s="2">
        <v>9.61333924549905</v>
      </c>
      <c r="R77" s="2">
        <v>75.7007935011533</v>
      </c>
      <c r="S77" s="2">
        <v>9.15208211585619E-4</v>
      </c>
    </row>
    <row r="78" ht="22.5" customHeight="1">
      <c r="A78" s="2">
        <v>132.491414428925</v>
      </c>
      <c r="B78" s="2">
        <v>62964.1859376725</v>
      </c>
      <c r="C78" s="2">
        <v>62.9641859376725</v>
      </c>
      <c r="D78" s="2">
        <v>6440964.18593767</v>
      </c>
      <c r="E78" s="2">
        <v>0.00883366236172936</v>
      </c>
      <c r="F78" s="2">
        <v>0.506131570970659</v>
      </c>
      <c r="G78" s="2">
        <v>1859.29390546867</v>
      </c>
      <c r="H78" s="2">
        <v>0.577110829623242</v>
      </c>
      <c r="I78" s="2">
        <v>33.0660148487053</v>
      </c>
      <c r="J78" s="2">
        <v>197654.594146196</v>
      </c>
      <c r="K78" s="2">
        <v>-0.00749999334759196</v>
      </c>
      <c r="L78" s="2">
        <v>174.000054869755</v>
      </c>
      <c r="M78" s="2">
        <v>1566.00049382779</v>
      </c>
      <c r="N78" s="2">
        <v>4843318.28848752</v>
      </c>
      <c r="O78" s="2">
        <v>4.84331828848752</v>
      </c>
      <c r="P78" s="2">
        <v>1504.43905791291</v>
      </c>
      <c r="Q78" s="2">
        <v>9.60805600092172</v>
      </c>
      <c r="R78" s="2">
        <v>61.4692570653201</v>
      </c>
      <c r="S78" s="2">
        <v>7.43151639822523E-4</v>
      </c>
    </row>
    <row r="79" ht="22.5" customHeight="1">
      <c r="A79" s="2">
        <v>134.234722513517</v>
      </c>
      <c r="B79" s="2">
        <v>64730.7307853751</v>
      </c>
      <c r="C79" s="2">
        <v>64.7307307853751</v>
      </c>
      <c r="D79" s="2">
        <v>6442730.73078537</v>
      </c>
      <c r="E79" s="2">
        <v>0.00926097727874876</v>
      </c>
      <c r="F79" s="2">
        <v>0.530614912238854</v>
      </c>
      <c r="G79" s="2">
        <v>1893.25340387018</v>
      </c>
      <c r="H79" s="2">
        <v>0.564036032643843</v>
      </c>
      <c r="I79" s="2">
        <v>32.3168841637953</v>
      </c>
      <c r="J79" s="2">
        <v>194924.572903187</v>
      </c>
      <c r="K79" s="2">
        <v>-0.0074999909867243</v>
      </c>
      <c r="L79" s="2">
        <v>174.000044882006</v>
      </c>
      <c r="M79" s="2">
        <v>1566.00040393805</v>
      </c>
      <c r="N79" s="2">
        <v>4843396.31509846</v>
      </c>
      <c r="O79" s="2">
        <v>4.84339631509846</v>
      </c>
      <c r="P79" s="2">
        <v>1267.17646322656</v>
      </c>
      <c r="Q79" s="2">
        <v>9.60278782020904</v>
      </c>
      <c r="R79" s="2">
        <v>49.9343108720105</v>
      </c>
      <c r="S79" s="2">
        <v>6.03696331785965E-4</v>
      </c>
    </row>
    <row r="80" ht="22.5" customHeight="1">
      <c r="A80" s="2">
        <v>135.978030598108</v>
      </c>
      <c r="B80" s="2">
        <v>66492.8219301292</v>
      </c>
      <c r="C80" s="2">
        <v>66.4928219301292</v>
      </c>
      <c r="D80" s="2">
        <v>6444492.82193012</v>
      </c>
      <c r="E80" s="2">
        <v>0.00969961102197005</v>
      </c>
      <c r="F80" s="2">
        <v>0.555746774477459</v>
      </c>
      <c r="G80" s="2">
        <v>1928.01192922148</v>
      </c>
      <c r="H80" s="2">
        <v>0.550961241844165</v>
      </c>
      <c r="I80" s="2">
        <v>31.5677538329573</v>
      </c>
      <c r="J80" s="2">
        <v>192194.551793977</v>
      </c>
      <c r="K80" s="2">
        <v>-0.00749998625793064</v>
      </c>
      <c r="L80" s="2">
        <v>174.000037814082</v>
      </c>
      <c r="M80" s="2">
        <v>1566.00034032674</v>
      </c>
      <c r="N80" s="2">
        <v>4843459.58156596</v>
      </c>
      <c r="O80" s="2">
        <v>4.84345958156596</v>
      </c>
      <c r="P80" s="2">
        <v>1068.0896091715</v>
      </c>
      <c r="Q80" s="2">
        <v>9.59753723663871</v>
      </c>
      <c r="R80" s="2">
        <v>40.5852020459039</v>
      </c>
      <c r="S80" s="2">
        <v>4.90667382247543E-4</v>
      </c>
    </row>
    <row r="81" ht="22.5" customHeight="1">
      <c r="A81" s="2">
        <v>137.721338682699</v>
      </c>
      <c r="B81" s="2">
        <v>68249.5587182474</v>
      </c>
      <c r="C81" s="2">
        <v>68.2495587182474</v>
      </c>
      <c r="D81" s="2">
        <v>6446249.55871824</v>
      </c>
      <c r="E81" s="2">
        <v>0.0101497982989117</v>
      </c>
      <c r="F81" s="2">
        <v>0.581540605436707</v>
      </c>
      <c r="G81" s="2">
        <v>1963.58776310607</v>
      </c>
      <c r="H81" s="2">
        <v>0.537886467530265</v>
      </c>
      <c r="I81" s="2">
        <v>30.8186244466847</v>
      </c>
      <c r="J81" s="2">
        <v>189464.530781542</v>
      </c>
      <c r="K81" s="2">
        <v>-0.00749997207347973</v>
      </c>
      <c r="L81" s="2">
        <v>174.000032546009</v>
      </c>
      <c r="M81" s="2">
        <v>1566.00029291408</v>
      </c>
      <c r="N81" s="2">
        <v>4843510.87362459</v>
      </c>
      <c r="O81" s="2">
        <v>4.84351087362459</v>
      </c>
      <c r="P81" s="2">
        <v>901.01311995549</v>
      </c>
      <c r="Q81" s="2">
        <v>9.59230689326209</v>
      </c>
      <c r="R81" s="2">
        <v>33.0072951534403</v>
      </c>
      <c r="S81" s="2">
        <v>3.99051927589088E-4</v>
      </c>
    </row>
    <row r="82" ht="22.5" customHeight="1">
      <c r="A82" s="2">
        <v>139.46464676729</v>
      </c>
      <c r="B82" s="2">
        <v>70000.0</v>
      </c>
      <c r="C82" s="2">
        <v>70.0</v>
      </c>
      <c r="D82" s="2">
        <v>6448000.0</v>
      </c>
      <c r="E82" s="2">
        <v>0.0106117777780272</v>
      </c>
      <c r="F82" s="2">
        <v>0.608010079811674</v>
      </c>
      <c r="G82" s="2">
        <v>1999.99997027204</v>
      </c>
      <c r="H82" s="2">
        <v>0.524811829661508</v>
      </c>
      <c r="I82" s="2">
        <v>30.0695028781431</v>
      </c>
      <c r="J82" s="2">
        <v>186734.509575602</v>
      </c>
      <c r="K82" s="2">
        <v>-0.00749982972180398</v>
      </c>
      <c r="L82" s="2">
        <v>174.000062480462</v>
      </c>
      <c r="M82" s="2">
        <v>1566.00056232415</v>
      </c>
      <c r="N82" s="2">
        <v>4843553.30858919</v>
      </c>
      <c r="O82" s="2">
        <v>4.84355330858919</v>
      </c>
      <c r="P82" s="2">
        <v>760.77168974337</v>
      </c>
      <c r="Q82" s="2">
        <v>9.58709954497595</v>
      </c>
      <c r="R82" s="2">
        <v>26.86419432183</v>
      </c>
      <c r="S82" s="2">
        <v>3.2478300561798E-4</v>
      </c>
    </row>
    <row r="127">
      <c r="B127" s="3"/>
      <c r="C127" s="3"/>
      <c r="D127" s="4" t="s">
        <v>19</v>
      </c>
      <c r="E127" s="4" t="s">
        <v>20</v>
      </c>
    </row>
    <row r="128">
      <c r="B128" s="5" t="s">
        <v>21</v>
      </c>
      <c r="C128" s="6">
        <v>0.10277777777777777</v>
      </c>
      <c r="D128" s="4">
        <v>7905.0</v>
      </c>
      <c r="E128" s="4">
        <v>64.8</v>
      </c>
    </row>
    <row r="129">
      <c r="B129" s="7" t="s">
        <v>22</v>
      </c>
      <c r="C129" s="6">
        <v>0.10486111111111111</v>
      </c>
      <c r="D129" s="4">
        <v>8171.0</v>
      </c>
      <c r="E129" s="4">
        <v>66.1</v>
      </c>
    </row>
    <row r="130">
      <c r="B130" s="7" t="s">
        <v>23</v>
      </c>
      <c r="C130" s="8">
        <v>0.10277777777777777</v>
      </c>
      <c r="D130" s="4">
        <v>6012.0</v>
      </c>
      <c r="E130" s="4">
        <v>83.6</v>
      </c>
    </row>
    <row r="131">
      <c r="B131" s="7" t="s">
        <v>24</v>
      </c>
      <c r="C131" s="8">
        <v>0.10555555555555556</v>
      </c>
      <c r="D131" s="4">
        <v>8178.0</v>
      </c>
      <c r="E131" s="4">
        <v>61.0</v>
      </c>
    </row>
    <row r="132">
      <c r="B132" s="5" t="s">
        <v>25</v>
      </c>
      <c r="C132" s="8">
        <v>0.10347222222222222</v>
      </c>
      <c r="D132" s="4">
        <v>7957.0</v>
      </c>
      <c r="E132" s="4">
        <v>59.2</v>
      </c>
    </row>
    <row r="133">
      <c r="B133" s="4" t="s">
        <v>26</v>
      </c>
      <c r="C133" s="9">
        <f t="shared" ref="C133:E133" si="1">AVERAGE(C128:C132)</f>
        <v>0.1038888889</v>
      </c>
      <c r="D133" s="3">
        <f t="shared" si="1"/>
        <v>7644.6</v>
      </c>
      <c r="E133" s="3">
        <f t="shared" si="1"/>
        <v>66.94</v>
      </c>
    </row>
  </sheetData>
  <dataValidations>
    <dataValidation type="custom" allowBlank="1" showDropDown="1" sqref="A2:S82">
      <formula1>AND(ISNUMBER(A2),(NOT(OR(NOT(ISERROR(DATEVALUE(A2))), AND(ISNUMBER(A2), LEFT(CELL("format", A2))="D")))))</formula1>
    </dataValidation>
  </dataValidations>
  <hyperlinks>
    <hyperlink r:id="rId1" ref="B128"/>
    <hyperlink r:id="rId2" ref="B129"/>
    <hyperlink r:id="rId3" ref="B130"/>
    <hyperlink r:id="rId4" ref="B131"/>
    <hyperlink r:id="rId5" ref="B132"/>
  </hyperlinks>
  <drawing r:id="rId6"/>
  <tableParts count="1">
    <tablePart r:id="rId8"/>
  </tableParts>
</worksheet>
</file>